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slicers/slicer1.xml" ContentType="application/vnd.ms-excel.slicer+xml"/>
  <Override PartName="/xl/timelines/timeline1.xml" ContentType="application/vnd.ms-excel.timelin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1.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ns1="http://schemas.openxmlformats.org/markup-compatibility/2006" xmlns:ns10="http://schemas.microsoft.com/office/spreadsheetml/2018/calcfeatures"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09/9/main" xmlns:ns9="http://schemas.microsoft.com/office/spreadsheetml/2010/11/main" ns1:Ignorable="x15 xr xr6 xr10 xr2">
  <fileVersion appName="xl" lastEdited="7" lowestEdited="7" rupBuild="24332"/>
  <workbookPr hidePivotFieldList="1" defaultThemeVersion="166925"/>
  <ns1:AlternateContent>
    <ns1:Choice Requires="x15">
      <ns2:absPath url="C:\Users\DLC21231\Downloads\"/>
    </ns1:Choice>
  </ns1:AlternateContent>
  <ns3:revisionPtr revIDLastSave="0" documentId="8_{410BABC0-4661-45A0-95B2-7C1B4898C8E0}" ns4:coauthVersionLast="47" ns4:coauthVersionMax="47" ns5:uidLastSave="{00000000-0000-0000-0000-000000000000}"/>
  <bookViews>
    <workbookView xWindow="28680" yWindow="-120" windowWidth="29040" windowHeight="15720" ns6:uid="{00000000-000D-0000-FFFF-FFFF00000000}"/>
  </bookViews>
  <sheets>
    <sheet name="Vehicle" sheetId="2" ns7:id="rId1"/>
    <sheet name="Equipment" sheetId="1" state="hidden" ns7:id="rId2"/>
    <sheet name="Facility" sheetId="3" state="hidden" ns7:id="rId3"/>
    <sheet name="Additions" sheetId="16" state="hidden" ns7:id="rId4"/>
    <sheet name="List of Vehicles" sheetId="5" state="hidden" ns7:id="rId5"/>
    <sheet name="List of Generators" sheetId="6" state="hidden" ns7:id="rId6"/>
    <sheet name="Data_Analysis" sheetId="17" state="hidden" ns7:id="rId7"/>
    <sheet name="DashBoard" sheetId="7" state="hidden" ns7:id="rId8"/>
  </sheets>
  <externalReferences>
    <externalReference ns7:id="rId9"/>
  </externalReferences>
  <definedNames>
    <definedName name="_xlnm._FilterDatabase" localSheetId="5" hidden="1">'List of Generators'!$D$2:$G$21</definedName>
    <definedName name="FAC_COST">Data_Analysis!$Y$74:$Y$85</definedName>
    <definedName name="FAC_DES">Data_Analysis!$X$74:$X$85</definedName>
    <definedName name="GEN_COST">Data_Analysis!$B$68:$B$85</definedName>
    <definedName name="GEN_DES">Data_Analysis!$A$68:$A$85</definedName>
    <definedName name="INVENTORY_LIST">'[1]Searchable Inventory Item List'!$B$5:$E$6314</definedName>
    <definedName name="NativeTimeline_DATE_OF_REQUEST1">#N/A</definedName>
    <definedName name="Slicer_ASSET_DESCRIPTION">#N/A</definedName>
    <definedName name="Slicer_LOCATION">#N/A</definedName>
    <definedName name="Slicer_VEHICLE_REG_NO.">#N/A</definedName>
    <definedName name="VEH_COST">Data_Analysis!$K$52:$K$96</definedName>
    <definedName name="VEH_DES">Data_Analysis!$J$52:$J$96</definedName>
  </definedNames>
  <calcPr calcId="191028" fullCalcOnLoad="1"/>
  <pivotCaches>
    <pivotCache cacheId="13" ns7:id="rId10"/>
    <pivotCache cacheId="14" ns7:id="rId11"/>
    <pivotCache cacheId="20" ns7:id="rId12"/>
  </pivotCaches>
  <extLst>
    <ext uri="{BBE1A952-AA13-448e-AADC-164F8A28A991}">
      <ns8:slicerCaches>
        <ns8:slicerCache ns7:id="rId13"/>
        <ns8:slicerCache ns7:id="rId14"/>
        <ns8:slicerCache ns7:id="rId15"/>
      </ns8:slicerCaches>
    </ext>
    <ext uri="{79F54976-1DA5-4618-B147-4CDE4B953A38}">
      <ns8:workbookPr/>
    </ext>
    <ext uri="{D0CA8CA8-9F24-4464-BF8E-62219DCF47F9}">
      <ns9:timelineCacheRefs>
        <ns9:timelineCacheRef ns7:id="rId16"/>
      </ns9:timelineCacheRefs>
    </ext>
    <ext uri="{140A7094-0E35-4892-8432-C4D2E57EDEB5}">
      <ns9:workbookPr chartTrackingRefBase="1"/>
    </ext>
    <ext uri="{B58B0392-4F1F-4190-BB64-5DF3571DCE5F}">
      <ns10:calcFeatures>
        <ns10:feature name="microsoft.com:RD"/>
        <ns10:feature name="microsoft.com:Single"/>
        <ns10:feature name="microsoft.com:FV"/>
        <ns10:feature name="microsoft.com:CNMTM"/>
        <ns10:feature name="microsoft.com:LET_WF"/>
      </ns10: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<sst xmlns="http://schemas.openxmlformats.org/spreadsheetml/2006/main" count="2788" uniqueCount="915">
  <si>
    <r>
      <rPr>
        <sz val="14"/>
        <color theme="3"/>
        <rFont val="Arial Black"/>
        <family val="2"/>
      </rPr>
      <t>VEHICLE REPAIR AND MAINTENANCE</t>
    </r>
    <r>
      <rPr>
        <sz val="14"/>
        <color theme="3"/>
        <rFont val="Calibri Light"/>
        <family val="2"/>
        <scheme val="major"/>
      </rPr>
      <t xml:space="preserve"> </t>
    </r>
    <r>
      <rPr>
        <sz val="14"/>
        <color rgb="FF002060"/>
        <rFont val="Arial"/>
        <family val="2"/>
      </rPr>
      <t>REGISTER - 2026</t>
    </r>
  </si>
  <si>
    <t>ACTIONED BY</t>
  </si>
  <si>
    <t>DATE / COST</t>
  </si>
  <si>
    <t>REMARKS</t>
  </si>
  <si>
    <t>MONTH</t>
  </si>
  <si>
    <t>DATE OF REQUEST</t>
  </si>
  <si>
    <t>REQUESTOR</t>
  </si>
  <si>
    <t>MRSF No.</t>
  </si>
  <si>
    <t>NOTIFICATION STATUS</t>
  </si>
  <si>
    <t>REPAIR / MAINTENANCE LOCATION</t>
  </si>
  <si>
    <t>ASSET NO.</t>
  </si>
  <si>
    <t>VEHICLE REG NO.</t>
  </si>
  <si>
    <t>VEHICLE DESCRIPTION</t>
  </si>
  <si>
    <t>ODOMETER READING</t>
  </si>
  <si>
    <t>DESCRIPTION OF REQUEST</t>
  </si>
  <si>
    <t>DESCRIPTION OF WORK DONE</t>
  </si>
  <si>
    <t>PARTS SUPPLIED BY</t>
  </si>
  <si>
    <t>WORK DONE AT</t>
  </si>
  <si>
    <t>DATE TAKEN TO WORKSHOP</t>
  </si>
  <si>
    <t>STATUS OF WORK</t>
  </si>
  <si>
    <t>DATE COMPLETED</t>
  </si>
  <si>
    <t>DAYS TAKEN TO COMPLETE</t>
  </si>
  <si>
    <t>SPARES COST (NGN)</t>
  </si>
  <si>
    <t>JUSTIFICATION / EVALUATION</t>
  </si>
  <si>
    <t>Jan</t>
  </si>
  <si>
    <t>Georgelin</t>
  </si>
  <si>
    <t>V/25/006</t>
  </si>
  <si>
    <t>PORT HARCOURT</t>
  </si>
  <si>
    <t xml:space="preserve">BER 500 MU - HYUNDAI MINI TRUCK </t>
  </si>
  <si>
    <t xml:space="preserve">HYUNDAI MINI TRUCK </t>
  </si>
  <si>
    <t>The roof of the Cabin of Hyundai Van _ BER 500 MU requires re-spraying</t>
  </si>
  <si>
    <t>Pending</t>
  </si>
  <si>
    <t/>
  </si>
  <si>
    <t>May</t>
  </si>
  <si>
    <t>V/25/068</t>
  </si>
  <si>
    <t xml:space="preserve">RUM 513 CB - TOYOTA LAND CRUISER PRADO TXL </t>
  </si>
  <si>
    <t xml:space="preserve">TOYOTA LAND CRUISER PRADO TXL </t>
  </si>
  <si>
    <t>The radio needs to be fixed</t>
  </si>
  <si>
    <t>The radio is woring now</t>
  </si>
  <si>
    <t>Third Party</t>
  </si>
  <si>
    <t>Completed</t>
  </si>
  <si>
    <t>V/26/001</t>
  </si>
  <si>
    <t>Bus needs to be checked as driver observed faulty tierods</t>
  </si>
  <si>
    <t xml:space="preserve">The vehicle is in good condition </t>
  </si>
  <si>
    <t>Woji Store</t>
  </si>
  <si>
    <t>Woji Workshop</t>
  </si>
  <si>
    <t>Reported faults or breakdown are resolved accordingly to ensure the vehicle performs optimally as required by the OEM</t>
  </si>
  <si>
    <t>V/26/002</t>
  </si>
  <si>
    <t>The tierods shocks and bolt joints needs to be checked</t>
  </si>
  <si>
    <t>Two new shock-absorbers (Back) part NO: 55310-2W300 were replaced. ( Next Service milage Hour: 114745 )</t>
  </si>
  <si>
    <t>Routine servicing required as per OEM expectation</t>
  </si>
  <si>
    <t>V/26/003</t>
  </si>
  <si>
    <t>Air conditioner is faulty, is not cooling and needs to be checked</t>
  </si>
  <si>
    <t>Ac gas and oil were refilled okay, airfilter was replaced. ( Next Service Milage Hour: 128043 )</t>
  </si>
  <si>
    <t>V/26/003 B</t>
  </si>
  <si>
    <t>Replacement of oilfilter and engine oil</t>
  </si>
  <si>
    <t>Oilfilter part No: 2639936601 was replaced, 5Litres of mobil engine oil 20W50 were replaced. ( Next Service Milage Hour: 117572 )</t>
  </si>
  <si>
    <t>V/26/003 C</t>
  </si>
  <si>
    <t>PRIVATE (GML2)</t>
  </si>
  <si>
    <t>Replacement of four new Austone tyres.</t>
  </si>
  <si>
    <t>Four new tyres Austone 265/65R17 were replaced ( Next Service Milage Hour: 117572 )</t>
  </si>
  <si>
    <t>V/26/004</t>
  </si>
  <si>
    <t>Vehicle is overheating</t>
  </si>
  <si>
    <t>The radiator top cover (i.e the plastic cover) was replaced. No more leakage. (Next Service Milage Hour: 123479)</t>
  </si>
  <si>
    <t>V/26/005</t>
  </si>
  <si>
    <t xml:space="preserve">Due for servicing </t>
  </si>
  <si>
    <t>Oilfilter 04152-31090 and Toyota engine oil OW-20 were replaced. ( ie 7litres )  ( Next Service Milage Hour: 44665 )</t>
  </si>
  <si>
    <t>V/26/006</t>
  </si>
  <si>
    <t>New 75AH Solite motor battery fixed</t>
  </si>
  <si>
    <t>75AH  Solite motor battery was fixed ( Next Service Milage  Hour: 178775 )</t>
  </si>
  <si>
    <t>V/26/007</t>
  </si>
  <si>
    <t>Vehicle is due for servicing</t>
  </si>
  <si>
    <t>Oilfilter 90915-YZZD2, fuelfilter 23300-75140, 6litres of mobil engine oil 20w50, one(1) Set of front brake pad 04465-YZZE1, two down camber bushing 486550Ok040 &amp; 48654-OK040, one(1) lub bearing (RH) 9008037030 and two (2) streering rack hoses were replaced. ( Next Service Milage Hour: 102953 )</t>
  </si>
  <si>
    <t>V/26/008</t>
  </si>
  <si>
    <t>DELHIL</t>
  </si>
  <si>
    <t>Changing of oil and filter</t>
  </si>
  <si>
    <t>V/26/009</t>
  </si>
  <si>
    <t>Oilfilter 90915-YZZD2, fuelfilter-23300-75140 and 6litres of mobil engine oil 20w50 were replaced. ( Next Service Milage Hour: 266131 )</t>
  </si>
  <si>
    <t>V/26/010</t>
  </si>
  <si>
    <t>New engine need to be fix</t>
  </si>
  <si>
    <t>V/26/011</t>
  </si>
  <si>
    <t>Second hand engine ( without kick-starter &amp; compressor )  were replaced ( Next service milage hour: 120848 ) Oilfilter part NO: 26300-35501 was replaced, 5litres of mobil engine oil 20W50 were replaced.</t>
  </si>
  <si>
    <t>V/26/012</t>
  </si>
  <si>
    <t>Body work</t>
  </si>
  <si>
    <t>Body Work</t>
  </si>
  <si>
    <t>V/26/013</t>
  </si>
  <si>
    <t>Auto planet</t>
  </si>
  <si>
    <t>V/26/014</t>
  </si>
  <si>
    <t>For Servicing</t>
  </si>
  <si>
    <t>Oilfilter part NO: 90915-YZZD2 was replaced, fuelfilter part NO: 23300-75140 was replaced, 6litres of mobil engine oil 20w50 were replaced, one (1) set of front brake pad part NO: 04465-YZZE1 was replaced, the down camber bushing part NO: 48655-OK040 and 48654-OK040 were replaced, one (1) hub bearing ( RH ) part NO: 9008037030 was replaced, steering rack hose 2pcs were  replaced. ( Next service milage hour: 102953 )</t>
  </si>
  <si>
    <t>V/26/015</t>
  </si>
  <si>
    <t>Replacement of new fuel-pump and washing of fuel tank</t>
  </si>
  <si>
    <t>The fuel-pump part NO: 23221-75020 (original fuel-pump 23221-13010 ), the fuel-tank was dropped down, washed it &amp; fixed it back. ( next service milage Hour: 169519 )</t>
  </si>
  <si>
    <t>V/26/016</t>
  </si>
  <si>
    <t>Noisy sound from the rear area of the Bus</t>
  </si>
  <si>
    <t>V/26/017</t>
  </si>
  <si>
    <t>Brake binding, vehicle could not move</t>
  </si>
  <si>
    <t>New master cylinder 47201-OK040 &amp; one (1) can of synthetic brake fluid were replaced. The two (2) calipers were also serviced Okay. ( Next service milage hour: 190402 )</t>
  </si>
  <si>
    <t>V/26/018</t>
  </si>
  <si>
    <t>Damaged Bumper</t>
  </si>
  <si>
    <t>The bumper and spraying is done. (  Next service milage hour: 116078 )</t>
  </si>
  <si>
    <t>V/26/019</t>
  </si>
  <si>
    <t>Due for servicing and needs to be checked</t>
  </si>
  <si>
    <t>Fuel filter 23300-75140, Oil filter 90915-YZZD4 and 6 litres of mobil engine oil 20w50 were replaced. The brake system were also adjusted okay. (Next Service Milage Hour: 220287)</t>
  </si>
  <si>
    <t>V/26/020</t>
  </si>
  <si>
    <t>Replacement of spider bearing</t>
  </si>
  <si>
    <t>The back spider bearing part NO: gun-29 was replaced (Next service milage hour: 112472 )</t>
  </si>
  <si>
    <t>Feb</t>
  </si>
  <si>
    <t>V/26/021</t>
  </si>
  <si>
    <t>The ignition needs to be checked as ''Hard start'' was observed.</t>
  </si>
  <si>
    <t>The ignition key was removed, repaired and fixed it back. ( Next service milage hour: 124640 )</t>
  </si>
  <si>
    <t>V/26/022</t>
  </si>
  <si>
    <t>Leakage from the exhaust</t>
  </si>
  <si>
    <t>Valve cover gasket 22441-2G100, four (4) ignition coils 27300-3f100 and four (4) sparking, plugs NGK 18840 11051 were replaced. ( Next Service  Milage Hour: 114745 )</t>
  </si>
  <si>
    <t>V/26/023</t>
  </si>
  <si>
    <t>Oil filter 26300 35501 &amp; 5 litres of mobil engine oil 20w50 were replaced. (Next Service Milage Hour: 122964)</t>
  </si>
  <si>
    <t>V/26/024</t>
  </si>
  <si>
    <t>5 litres of mobil engine oil, 20w50 &amp; oil filter 26300, 35501 were replaced. Please, the tie rod ends and the stabilizer links needs replacement. ( Next Service Milage Hour: 128507)</t>
  </si>
  <si>
    <t>V/26/025</t>
  </si>
  <si>
    <t>Door glass issue</t>
  </si>
  <si>
    <t>The door glass lifting engine was repaired okay  ( Next Service Milage Hour: 123479 )</t>
  </si>
  <si>
    <t>V/26/026</t>
  </si>
  <si>
    <t>Oil filter 15208-311100, fuel filter 16400-25T0A, 5 litres of mobil engine oil 20w50 were replaced. One WD40 was also used. (Next Service Milage Hour: 130769)</t>
  </si>
  <si>
    <t>V/26/027</t>
  </si>
  <si>
    <t>Fuel filter 23300-75140, Oil filter 90915-YZZD4 and 6 litres of mobil engine oil 20w50 were replaced. (Next Service Milage Hour: 141190)</t>
  </si>
  <si>
    <t>V/26/029</t>
  </si>
  <si>
    <t>Air conditioner is not cooling, needs to be checked</t>
  </si>
  <si>
    <t>The Air conditioner is cooling now and the work has been done. (Next Service Milage Hour: 92658)</t>
  </si>
  <si>
    <t>V/26/030</t>
  </si>
  <si>
    <t>The AC gas and oil were filled okay. Now the AC is working fine. (Next Service Milage Hour: 102953)</t>
  </si>
  <si>
    <t>V/26/031</t>
  </si>
  <si>
    <t>Oilfilter part NO: 15208-31U00 was replaced, the coil from the compressor was replaced, Refilling of AC gas and oil were done Okay. ( Next service milage hour: 120848 )</t>
  </si>
  <si>
    <t>V/26/032</t>
  </si>
  <si>
    <t>The brakes of the vehicle needs to be checked urgently</t>
  </si>
  <si>
    <t>One set of rear brake pad, Part No: KD2281 was replaced. (Next Service Milage Hour:128043)</t>
  </si>
  <si>
    <t>V/26/033</t>
  </si>
  <si>
    <t>Vehicle needs to be checked as its not firing properly</t>
  </si>
  <si>
    <t>Four sparking plugs 90919-YZZAC were replaced the four nozzles were also service. ( Next service milage hour: 130769 )</t>
  </si>
  <si>
    <t>V/26/034</t>
  </si>
  <si>
    <t>5Litres of mobil engine oil 20w50 were replaced , one (1) oilfilter part NO: 26300-35501 was replaced ( Next service milage hour: 128507 )</t>
  </si>
  <si>
    <t>V/26/035</t>
  </si>
  <si>
    <t>Tinted work</t>
  </si>
  <si>
    <t>V/26/036</t>
  </si>
  <si>
    <t>Replacement of  wiper blade</t>
  </si>
  <si>
    <t>One (1) set of wiper blade was replaced. (Next service milage hour: 120395 )</t>
  </si>
  <si>
    <t>V/26/037</t>
  </si>
  <si>
    <t>Bus is due for servicing</t>
  </si>
  <si>
    <t>6Litres of mobil engine oil 20w50, oilfilter 90915-YZZD4, two (2) down ball-joints 43330-29565 &amp; two(2) Tie Rod ends 45046-29222 were replaced</t>
  </si>
  <si>
    <t>V/26/038</t>
  </si>
  <si>
    <t>The vehicle is in good condition ( Next service milage hour: 97166 )</t>
  </si>
  <si>
    <t>V/26/039</t>
  </si>
  <si>
    <t>Headlamp bulbs requires replacement</t>
  </si>
  <si>
    <t>Two Headlamp bulbs 12v 100wt were replaced ( Next service milage hour: 116848 )</t>
  </si>
  <si>
    <t>Replacement of the suspensions system</t>
  </si>
  <si>
    <t>Two stabilizer link ( RH&amp;LH) part NO 48820-6005 &amp; 48810-60040 were replaced. ( next service milage hour: 266131 )</t>
  </si>
  <si>
    <t>V/26/040</t>
  </si>
  <si>
    <t>Vehicle needs to be checked as rear tyres are bent, seems there's clearsnce around the calipher</t>
  </si>
  <si>
    <t>Camber rod bushing 55118-2w100 (4pcs), Camberbushing 44253-2w100 (4pcs) Shock-absorber 55310-2w600 (pcs), Oilfilter 26300-35501 &amp; 5litres of mobil engine oil 20w50 were replaced. ( Next service milage hour: 124505 )</t>
  </si>
  <si>
    <t>V/26/041</t>
  </si>
  <si>
    <t>Tyres require replacement (4) size: 245/70 R16</t>
  </si>
  <si>
    <t>Four ( 4 ) new tyres Austone 245/70R16 were replaced. ( Next service milage hour: 134881 )</t>
  </si>
  <si>
    <t>V/26/028</t>
  </si>
  <si>
    <t>Noisy sounds while in motion, the bolt joints and tie rods needs to be checked</t>
  </si>
  <si>
    <t>One litre of mobil engine oil 20W50 was topped okay ( Next Service Milage Hour: 266131</t>
  </si>
  <si>
    <t>Mar</t>
  </si>
  <si>
    <t>V/26/042</t>
  </si>
  <si>
    <t>The vehicle is working well now</t>
  </si>
  <si>
    <t>V/26/043</t>
  </si>
  <si>
    <t>Dispose / sale</t>
  </si>
  <si>
    <t>V/26/044</t>
  </si>
  <si>
    <t>The headlamp is working well now</t>
  </si>
  <si>
    <t>Vehicle requires 4 new tyres ( 225/55R18 ) Reminder for faulty shaff.</t>
  </si>
  <si>
    <t>Purchase of 4 new tyres</t>
  </si>
  <si>
    <t>Vehicle needs to be checked as smoke was observed from the rear tyres Disc binding / caliper needs to be changed</t>
  </si>
  <si>
    <t>The clutch dise 31250-26230, clutch cover 31210-20170, relase bearing ( NACHI), steering pump 44310-Ok030, load servicing 47910-Ok020, one (1) shift hose &amp; one (1) can of antomatic transmission fluid. ( Next service milage hour: 178775 )</t>
  </si>
  <si>
    <t>Bus requires 4 new tyres ( 195 R15C )</t>
  </si>
  <si>
    <t>Four (4) new tyres Bridgestone 195R15 were replaced. The wheel balancing &amp; camber balancing were also done Okay. ( Next service milage hour: 168587 )</t>
  </si>
  <si>
    <t>6Litres of mobil engine oil 20w50, fuelfilter 23300-75140 and oilfilter 90915-YZZD4 were replaced. ( Next service milage hour: 132312 )</t>
  </si>
  <si>
    <t>Vehicle was observed to have brake binding</t>
  </si>
  <si>
    <t>Adjustment of the rear brake was done okay. ( next service milage hour: 128507 )</t>
  </si>
  <si>
    <t>Vehicle is not Accelerating</t>
  </si>
  <si>
    <t xml:space="preserve">The fault has been rectified and the vehicle is accelerating very smooth movement. </t>
  </si>
  <si>
    <t>Apr</t>
  </si>
  <si>
    <t>Rear tyres are binding and requires urgent altention</t>
  </si>
  <si>
    <t>V/26/039 A</t>
  </si>
  <si>
    <t>Replacement of new fan</t>
  </si>
  <si>
    <t>New fan was replaced the bad one, four litres of radiator coolant was pour inside the radiator. ( Next service milage hour: 116848 )</t>
  </si>
  <si>
    <t>Oilfilter and 5litres of Total quartz engine oil 5W-30 were replaced. ( Next service milage hour: 120228 )</t>
  </si>
  <si>
    <t>Replacement of priming-pump</t>
  </si>
  <si>
    <t>New priming-pump was replaced the bad one. ( Next service milage hour: 50974 )</t>
  </si>
  <si>
    <t>Hilux is due for servicing</t>
  </si>
  <si>
    <t>6Litres of mobil engine oil 20w-50, oilfilter 90915-YZZD4 and fuelfilter 23300-7514 were replaced. ( Next service milage hour: 270731 )</t>
  </si>
  <si>
    <t>When brakes are applied, there is a noisy sound and vehicle sways in one direction</t>
  </si>
  <si>
    <t>Noisy sounds while in motion, alternator bearing needs to be checked</t>
  </si>
  <si>
    <t>The cut out and the dyout of the alternator were replaced and is working fine. No noise. ( Next service milage hour: 128507 )</t>
  </si>
  <si>
    <t>The vehicle is not working well</t>
  </si>
  <si>
    <t>Custodian observed vichicle jerk at intervals</t>
  </si>
  <si>
    <t>Replacement of fuelfilter &amp; water separator filter</t>
  </si>
  <si>
    <t>Fuelfilter part NO: 31945-41002 was replaced, water separator filter part NO: 31920-66200 was replaced. ( Next service milage hour: 50974 )</t>
  </si>
  <si>
    <t>Replacement of new batteries</t>
  </si>
  <si>
    <t>Two new Exide motor batteries 90AH each were repaced. ( Next service milage hour: 50974 )</t>
  </si>
  <si>
    <t>Vehicle rear shocks needs to be checked</t>
  </si>
  <si>
    <t>5Litres of mobil engine oil 20w50, oilfilter 26300-35501 and two (2) rear shock-absorbers 55311-25400 were replaced. ( Next service milage hour: 123235 )</t>
  </si>
  <si>
    <t>Faulty battery, needs to be checked</t>
  </si>
  <si>
    <t>70AH Exide motor battery was replaced. ( Next service milage hour: 097166 )</t>
  </si>
  <si>
    <t>Shortage of hydraulic</t>
  </si>
  <si>
    <t>One rear brake pot (LH ) part NO: KAR0290 and one can of hydraulic brake fluid were replaced. ( Next service milage hour: 128507 )</t>
  </si>
  <si>
    <t>Rear tyres wobbting, all tyres require replacement</t>
  </si>
  <si>
    <t>Replacement of 4 new tyres Cross-wind HP 235/65R17 and wheel-balancing, alignment and camber setting were done Okay. ( Next service milage hour: 124505 )</t>
  </si>
  <si>
    <t>Due for service</t>
  </si>
  <si>
    <t>6 Litres of mobil engine oil 20w50 were replaced</t>
  </si>
  <si>
    <t>Vehicle key is faulty, needs to be worked</t>
  </si>
  <si>
    <t>The faulty key has ben rectigied okay. ( Next service milage hour: 144029 )</t>
  </si>
  <si>
    <t>6 Litres of mobil engine oil 20w50, oilfilter 90915-YZZD4, fuelfilter 23300-75140 and horn control switch were replaced. The rear brake was also adjusted Ok. ( Next service milage hour: 106923 )</t>
  </si>
  <si>
    <t>Jun</t>
  </si>
  <si>
    <t xml:space="preserve">Vehicle is jerking </t>
  </si>
  <si>
    <t>Four (4) sparking plugs, four (4) ignation coils, Radio display and Reverse camera fan-belt, moulding doors 4pcs, front wiper blades 2pcs, one (1) Rear wiper blades, oilfilter fuelfilter and engine oil were replaced, ( Next service milage hour: 136129 )</t>
  </si>
  <si>
    <t>Vehicle key is faulty need to be checked</t>
  </si>
  <si>
    <t>Reparing of the door lifting engine and reparing of the door switch were done Okay. ( Next service milage hour: 128507 )</t>
  </si>
  <si>
    <t>Horn is faulty requires replacement</t>
  </si>
  <si>
    <t>The horn control switch and two (2) switch for the radio ( controling the siren. were replaced. ( Next Service milage hour: 274279 )</t>
  </si>
  <si>
    <t>Brake needs to be checked, vehicle require wheel balancing and alignment, Back light needs to be replaced</t>
  </si>
  <si>
    <t xml:space="preserve">The master cylinder was serviced, the brake systems were reactivated Okay, wheel balancing, alignment &amp; camber setting were done Okay. one can of systhetic brake fluid was used. ( Next service milage hour: </t>
  </si>
  <si>
    <t xml:space="preserve">The front passenger window falls to wind up, also the rear view mirror need to be fixed </t>
  </si>
  <si>
    <t>The door lifting engine was repaired Okay including the door switch was done okay. The rear mirror was also fixed. ( Next service milage hour: 128507 )</t>
  </si>
  <si>
    <t>Vehicle is due for servicing, the rear view mirror needs to be fixed</t>
  </si>
  <si>
    <t>Oilfilter 26300-35505 and 5litres of shell Helix engine oil 15W-40 were replaced. ( Next service milage hour: 147882 )</t>
  </si>
  <si>
    <t>Vehicle fan belt is bad, needs to be replaced</t>
  </si>
  <si>
    <t xml:space="preserve">AC belt 12.5 x 900 La A 34, steering fan belt 12.5 x 1250 A47 and alternator belt A135 were replaced. </t>
  </si>
  <si>
    <t>Vehicle exhaust pulled out and needs to be attended to urgently</t>
  </si>
  <si>
    <t>The exhaust pipe was welded it in Uyo, Akwa Ibom State. ( Next service milage hour: 224752 )</t>
  </si>
  <si>
    <t>Jul</t>
  </si>
  <si>
    <t>Oilfilter 04152-YZZAI, one set of front brake pad 04465-33471, One set of rear brake pad 04466-42060, and 7Litres of Toyota engine oil OW-20 were replaced. ( Next service milage hour: 48799 )</t>
  </si>
  <si>
    <t>FA000057</t>
  </si>
  <si>
    <t>Routine servicing</t>
  </si>
  <si>
    <t>Vehicle requires 2 new tyres ( 215/55/R17 )</t>
  </si>
  <si>
    <t>Engine oil shortage</t>
  </si>
  <si>
    <r>
      <rPr>
        <sz val="11"/>
        <color theme="3"/>
        <rFont val="Arial Black"/>
        <family val="2"/>
      </rPr>
      <t>EQUIPMENT REPAIR AND MAINTENANCE</t>
    </r>
    <r>
      <rPr>
        <sz val="11"/>
        <color theme="3"/>
        <rFont val="Calibri Light"/>
        <family val="2"/>
        <scheme val="major"/>
      </rPr>
      <t xml:space="preserve"> </t>
    </r>
    <r>
      <rPr>
        <sz val="11"/>
        <color rgb="FF002060"/>
        <rFont val="Arial"/>
        <family val="2"/>
      </rPr>
      <t>REGISTER - 2026</t>
    </r>
  </si>
  <si>
    <t>END USER</t>
  </si>
  <si>
    <t>LOCATION</t>
  </si>
  <si>
    <t>ASSET DESCRIPTION</t>
  </si>
  <si>
    <t>GENERATOR RUNNING HOURS</t>
  </si>
  <si>
    <t>NEXT SERVICE HOUR</t>
  </si>
  <si>
    <t>WORK DONE BY</t>
  </si>
  <si>
    <t>SPARES COST</t>
  </si>
  <si>
    <t>Simon Fearnot</t>
  </si>
  <si>
    <t>E/26/001</t>
  </si>
  <si>
    <t>DR</t>
  </si>
  <si>
    <t xml:space="preserve">This generator is due for servicing </t>
  </si>
  <si>
    <t>Water separator filter DAHL151, fuelfilter fleetguard ff5580, fuel/water separator filter fleetguard fs19732, oilfilter fleetguard LF9009 and 35litres of Total engine oil 15W-40</t>
  </si>
  <si>
    <t>Wojishop</t>
  </si>
  <si>
    <t xml:space="preserve"> 250 running hours service required as per OEM requirement </t>
  </si>
  <si>
    <t>E/26/002</t>
  </si>
  <si>
    <t>OFFICE</t>
  </si>
  <si>
    <t>PHC OFFICE</t>
  </si>
  <si>
    <t>The generator short down</t>
  </si>
  <si>
    <t xml:space="preserve">Fuelfilter cat IR-0749 and water separator filter, DAHL151 were replaced. The radiator was also flushed Okay. </t>
  </si>
  <si>
    <t>Henry Olise</t>
  </si>
  <si>
    <t>E/26/003</t>
  </si>
  <si>
    <t>MD</t>
  </si>
  <si>
    <t>MDYO100</t>
  </si>
  <si>
    <t>Servicing of two of 100kva generator</t>
  </si>
  <si>
    <t>3206 &amp; 1237</t>
  </si>
  <si>
    <t>Replacement of filters and fuel ( fuel filters, oil filtes woyting of radiator, labour and large 40ltrs )</t>
  </si>
  <si>
    <t>E/26/004</t>
  </si>
  <si>
    <t>Chairman</t>
  </si>
  <si>
    <t>CHRM47</t>
  </si>
  <si>
    <t>Servicing of 47kva generator</t>
  </si>
  <si>
    <t>Filter replacement and Engine oil ( Fuel filter, Oil filter Radiator cleaning sump gasket and Labour change 10ltrs )</t>
  </si>
  <si>
    <t xml:space="preserve">This generator has been done Okay for the overhanling </t>
  </si>
  <si>
    <t>The generator is working well now</t>
  </si>
  <si>
    <t>WOJI</t>
  </si>
  <si>
    <t>Oilfilter perkins 2654403, fuelfilter perkins 26561117, water separator filter 2010, 15litres of Total engine oil 15w-40 and crankshaft front oil seal 2418f437</t>
  </si>
  <si>
    <t>DGS</t>
  </si>
  <si>
    <t>Oilfilter perkins 2654403, fuelfilter perkins 4461492, water separator filter 2010, 10litres of Total engine oil 15w-40, Airfilter perkins 26510337, 10litres of Radiator coolant and the Radiator was removed, finished of fixed it back.</t>
  </si>
  <si>
    <t>Isaac</t>
  </si>
  <si>
    <t>Damayed lift pump</t>
  </si>
  <si>
    <t xml:space="preserve">Replacement of lift pump &amp; Labour / transport </t>
  </si>
  <si>
    <t>Uyobong</t>
  </si>
  <si>
    <t>Failed charging system</t>
  </si>
  <si>
    <t>Rapair of charging alterator</t>
  </si>
  <si>
    <t>Ibrahim Touma</t>
  </si>
  <si>
    <t>Oilfilter fleetguard lf909, water separator filter DAHL-151, fuel / water separator filter fleetguard fs19732, fuelflter fleetguard ff5580 and 35litres of Total engine oil 15w-40 were replaced</t>
  </si>
  <si>
    <t>Oilfilter perkins 265440, fuelfilter perkins 4461492, water separator filter 2010 and 10litres of Total engine oil 15w-40 were replaced</t>
  </si>
  <si>
    <t>Servicing of 50kva generaor</t>
  </si>
  <si>
    <t xml:space="preserve">Replacement of oil and filters ( normal servicing and logistc, labour ) 2 gallons of oil, 1pc of fuel filter and ipc oil filter </t>
  </si>
  <si>
    <t>Prince Obinna</t>
  </si>
  <si>
    <t>Generator shurtdown and indicate low oil pressure</t>
  </si>
  <si>
    <t>Faulty oil switch was replace ( 1Pc of oil sensor )</t>
  </si>
  <si>
    <t>This generator shut-down due to low pressure</t>
  </si>
  <si>
    <t xml:space="preserve">Fuelfilter Cat IR-0749, fuel/water separator filter Cat 326-1641, water separator filter DAHL151 and 5litres of Cat engine oil 15W-40 for topping. </t>
  </si>
  <si>
    <t>35Litres of Total engine oil 15w-40, fuelfilter fleetguard ff5580, fuel/water separator filter DAHL151, one (1) set of battery terminal oilfilter fleltguard lf 9009 klin detergent 170g</t>
  </si>
  <si>
    <t>Due to low oil pressure</t>
  </si>
  <si>
    <t>50Litres of Cat engine oil 15W-40 and oilfilter IR-1808 were replaced</t>
  </si>
  <si>
    <t>Due to the engine temperature</t>
  </si>
  <si>
    <t>The radiator was removed, washed and fixed it back. The radiator hose was replaced and 25litres of radiator coolant were pour inside the radiator</t>
  </si>
  <si>
    <t>Oilfilter 2654403, fuelfilter 26561117, water separator filter 2010 and 15litres of Total engine oil 15w-40 were replaced.</t>
  </si>
  <si>
    <t xml:space="preserve">Oilfilter perkins 2654403,  fuelfilter perkins 4461492, water separator filter 2010 and 10litres of Total engine oil 15w-40 were replaced </t>
  </si>
  <si>
    <t>GML</t>
  </si>
  <si>
    <t>This generator is consuming excess</t>
  </si>
  <si>
    <t>5 litres of Total engine oil 15W-40 were collected for topping of the 40KVA perkins generator carried out at woji-office</t>
  </si>
  <si>
    <t>Fuelfilter fleetguard FF5580, fuel/water separator filter fleetguard FS19732, 35litres of Total engine oil 15W-40 and oilfilter fleetguard LF9009 were replaced</t>
  </si>
  <si>
    <t>Fuelfilter fleetguard FF6580, fuel/water separator filter fleetguard FS19732, water separator filter DAHL151, oilfilter fleetguard LF9009 and 35litres of Total engine oil 15W-40 were replaced</t>
  </si>
  <si>
    <t>30513</t>
  </si>
  <si>
    <t>30763</t>
  </si>
  <si>
    <t>Oilfilter perkins 2654403, fuelfilter perkins 4461492, water separator filter 2010 and 10litres of Total engine oil 15W-40 were replaced</t>
  </si>
  <si>
    <t>Oilfilter perkins 2654403, fuelfilter perkins 26561117, water separator filter 2010, and 15litres of Total engine oil 15W-40 were replaced</t>
  </si>
  <si>
    <t xml:space="preserve">Oilfilter perkins 2654403, fuelfilter perkins 26561117, water seoarator filter 2010, Airfilter 26510342 and 15litres of Total engine oil 15litres were replaced. </t>
  </si>
  <si>
    <t>Fauulty charging system</t>
  </si>
  <si>
    <t>Repair/servicing of charging alternation</t>
  </si>
  <si>
    <t>Electrical issue at CAT generator</t>
  </si>
  <si>
    <t>For new battery</t>
  </si>
  <si>
    <t>Purchase of new battery</t>
  </si>
  <si>
    <t xml:space="preserve"> </t>
  </si>
  <si>
    <r>
      <rPr>
        <sz val="11"/>
        <color theme="3"/>
        <rFont val="Arial Black"/>
        <family val="2"/>
      </rPr>
      <t>FACILITY REPAIR AND MAINTENANCE</t>
    </r>
    <r>
      <rPr>
        <sz val="11"/>
        <color theme="3"/>
        <rFont val="Calibri Light"/>
        <family val="2"/>
        <scheme val="major"/>
      </rPr>
      <t xml:space="preserve"> </t>
    </r>
    <r>
      <rPr>
        <sz val="11"/>
        <color rgb="FF002060"/>
        <rFont val="Arial"/>
        <family val="2"/>
      </rPr>
      <t>REGISTER - 2026</t>
    </r>
  </si>
  <si>
    <t>ROOM / FLAT</t>
  </si>
  <si>
    <t xml:space="preserve">NAME </t>
  </si>
  <si>
    <t>Emah James</t>
  </si>
  <si>
    <t>F/25/031</t>
  </si>
  <si>
    <t xml:space="preserve">DR Block B </t>
  </si>
  <si>
    <t>FACILITY</t>
  </si>
  <si>
    <t>Repair depressed inter locking stone ( PO )</t>
  </si>
  <si>
    <t>Repair depressed inter locking stone</t>
  </si>
  <si>
    <t>Bobby Tholath</t>
  </si>
  <si>
    <t>F/25/044</t>
  </si>
  <si>
    <t xml:space="preserve">Block A&amp;B </t>
  </si>
  <si>
    <t>Repainting of the external walls</t>
  </si>
  <si>
    <t>F/25/92</t>
  </si>
  <si>
    <t>Chairman's House, Uyo</t>
  </si>
  <si>
    <t>Chairman A.G.O washing of tank</t>
  </si>
  <si>
    <t>Nov</t>
  </si>
  <si>
    <t>F/25/94</t>
  </si>
  <si>
    <t>PHC Office</t>
  </si>
  <si>
    <t>Main Office Water Tanks</t>
  </si>
  <si>
    <t>Washing of all water office tanks</t>
  </si>
  <si>
    <t>F/25/96</t>
  </si>
  <si>
    <t>Washing of DR GeePee tank</t>
  </si>
  <si>
    <t xml:space="preserve">Henry </t>
  </si>
  <si>
    <t>F/25/98</t>
  </si>
  <si>
    <t>Woij</t>
  </si>
  <si>
    <t>Woji</t>
  </si>
  <si>
    <t>Woji Store Yard</t>
  </si>
  <si>
    <t>Solar light for woji</t>
  </si>
  <si>
    <t>Enomfon</t>
  </si>
  <si>
    <t>F/26/001</t>
  </si>
  <si>
    <t>Second floor male convenience</t>
  </si>
  <si>
    <t>Faulty hand dryers ( All the dryers need replacement</t>
  </si>
  <si>
    <t>8Pcs of handdryers was replaced in ground floor, first floor and second floor</t>
  </si>
  <si>
    <t>John Ojie</t>
  </si>
  <si>
    <t>F/26/002</t>
  </si>
  <si>
    <t>Broken parameter fancing light</t>
  </si>
  <si>
    <t>Obinna</t>
  </si>
  <si>
    <t>F/26/003</t>
  </si>
  <si>
    <t>Generator house</t>
  </si>
  <si>
    <t>Cut off switch from DR commins / 150kva and office commins</t>
  </si>
  <si>
    <t>Installation of cut off switch 3 Gen. ( 3pcs )</t>
  </si>
  <si>
    <t>Martin Igba</t>
  </si>
  <si>
    <t>F/26/004</t>
  </si>
  <si>
    <t>Third Floor</t>
  </si>
  <si>
    <t>Presentive maintenance of cassette A/C 3rd floor</t>
  </si>
  <si>
    <t>F/26/005</t>
  </si>
  <si>
    <t>Water Plant</t>
  </si>
  <si>
    <t>Water leaking from ground between bole hole and treatment plant</t>
  </si>
  <si>
    <t>Pipe replaced ( Pre gum 1'' socket 1'' pipe )</t>
  </si>
  <si>
    <t xml:space="preserve">Matthew </t>
  </si>
  <si>
    <t>Godgift</t>
  </si>
  <si>
    <t>F/26/006</t>
  </si>
  <si>
    <t>Flat C</t>
  </si>
  <si>
    <t>Maid room compressor capacitor is bad and flat C A/C services</t>
  </si>
  <si>
    <t>Compressor capacitor change flat C service</t>
  </si>
  <si>
    <t>John Ojieh</t>
  </si>
  <si>
    <t>F/26/007</t>
  </si>
  <si>
    <t>Failed No2 30KVA ups</t>
  </si>
  <si>
    <t>Awaiting Spares</t>
  </si>
  <si>
    <t>F/26/008</t>
  </si>
  <si>
    <t>Training / cleaner</t>
  </si>
  <si>
    <t>No power in all the wall socket outlet</t>
  </si>
  <si>
    <t xml:space="preserve">Replscement of supply faulty cable to the DB in front control room. ( 300m 6m flex cable 25x20 3pcs wall </t>
  </si>
  <si>
    <t>Bobby</t>
  </si>
  <si>
    <t>F/26/008 A</t>
  </si>
  <si>
    <t>Flat F ( Service Quarter )</t>
  </si>
  <si>
    <t>Servicing SQ/dinner AC/parlour AC block</t>
  </si>
  <si>
    <t>Service quarter capacitor, Flat F capacitor, Servicing service quarter And Parlour service.</t>
  </si>
  <si>
    <t>F/26/009</t>
  </si>
  <si>
    <t xml:space="preserve">GYM </t>
  </si>
  <si>
    <t>Replacement of glass door for DR GYM house</t>
  </si>
  <si>
    <t>Replacement of GYM glass door</t>
  </si>
  <si>
    <t>F/26/010</t>
  </si>
  <si>
    <t>Replacement of the mirror glass frame in male convenience</t>
  </si>
  <si>
    <t>Replacement of mirror glass</t>
  </si>
  <si>
    <t>Efiong Emmanuel</t>
  </si>
  <si>
    <t>F/26/011</t>
  </si>
  <si>
    <t xml:space="preserve">Second Floor </t>
  </si>
  <si>
    <t>Request for extension</t>
  </si>
  <si>
    <t>Replacement of extension</t>
  </si>
  <si>
    <t>F/26/012</t>
  </si>
  <si>
    <t>Second Floor</t>
  </si>
  <si>
    <t>Faulty LED in the open office</t>
  </si>
  <si>
    <t>Replacement of faulty LED ( 2Pcs of 60 x 60 LED )</t>
  </si>
  <si>
    <t>F/26/013</t>
  </si>
  <si>
    <t>Repalcement of the mirror frame in male convenience</t>
  </si>
  <si>
    <t>Abraham Ibinye</t>
  </si>
  <si>
    <t>F/26/014</t>
  </si>
  <si>
    <t>Change of wall socket</t>
  </si>
  <si>
    <t>Replacement of faulty socket ( 1Pc of double 13Amps socket )</t>
  </si>
  <si>
    <t>F/26/015</t>
  </si>
  <si>
    <t>SQ, block B ( DR )</t>
  </si>
  <si>
    <t xml:space="preserve">Evacuation of septic tanks in DR service quarter, Block B ( left and right ) 3 trips </t>
  </si>
  <si>
    <t xml:space="preserve">Evacuation of septic tanks in DR, Service quarter and block B ( left and right ) </t>
  </si>
  <si>
    <t>Prezicon</t>
  </si>
  <si>
    <t>F/26/016</t>
  </si>
  <si>
    <t>Flat F ( Prezicon )</t>
  </si>
  <si>
    <t>Dinning chairs is not bad</t>
  </si>
  <si>
    <t>Fixing of dinning chairs in flat F ( DR )</t>
  </si>
  <si>
    <t>F/26/017</t>
  </si>
  <si>
    <t>Block A ( DR )</t>
  </si>
  <si>
    <t>Fixing of dinning chairs in block A ( DR )</t>
  </si>
  <si>
    <t>Bassey</t>
  </si>
  <si>
    <t>Wojistore</t>
  </si>
  <si>
    <t>Microwave and water kettle for wojistore</t>
  </si>
  <si>
    <t>purchase of microwave and water kettle</t>
  </si>
  <si>
    <t>Mr Bobby</t>
  </si>
  <si>
    <t>Enomfon Umoren</t>
  </si>
  <si>
    <t>first floor kitchen &amp; second floor</t>
  </si>
  <si>
    <t>First floor kitchen &amp; second floor neet plates and spoons</t>
  </si>
  <si>
    <t xml:space="preserve">Purchase of plates and spoons </t>
  </si>
  <si>
    <t>ATS Room</t>
  </si>
  <si>
    <t>faulty NEPA coupler</t>
  </si>
  <si>
    <t>Converting of 800A breaker to contactor</t>
  </si>
  <si>
    <t>Flat D</t>
  </si>
  <si>
    <t>Burnt capacitor</t>
  </si>
  <si>
    <t>Replacement of capacitor</t>
  </si>
  <si>
    <t>Flat E, DR</t>
  </si>
  <si>
    <t>Repair of wall leakage from laundry room</t>
  </si>
  <si>
    <t>Purchase of materials for the repair of wall leakage</t>
  </si>
  <si>
    <t>F17, DR</t>
  </si>
  <si>
    <t xml:space="preserve">Replacement of bombom wash </t>
  </si>
  <si>
    <t>Bombom wash replacement ( Quantity )</t>
  </si>
  <si>
    <t>F18, DR</t>
  </si>
  <si>
    <t>Flow mater replacement</t>
  </si>
  <si>
    <t>Flow mater replacement ( Quantity )</t>
  </si>
  <si>
    <t>February 10, 2026</t>
  </si>
  <si>
    <t>Flat AA</t>
  </si>
  <si>
    <t>Replacement of capacitor &amp; servicing</t>
  </si>
  <si>
    <t>Second floor</t>
  </si>
  <si>
    <t>second floor access door entrance door is not working</t>
  </si>
  <si>
    <t>February 12, 2026</t>
  </si>
  <si>
    <t>Training room</t>
  </si>
  <si>
    <t>Bad AC fan capacitor</t>
  </si>
  <si>
    <t>February 13, 2026</t>
  </si>
  <si>
    <t>Driver &amp; Mopol room</t>
  </si>
  <si>
    <t>AC leakage</t>
  </si>
  <si>
    <t>Ac leakage work done</t>
  </si>
  <si>
    <t>Flat A</t>
  </si>
  <si>
    <t>Condenser leakage &amp; burnt capacitor</t>
  </si>
  <si>
    <t>Outdoor condenser and capacitor has been worked on and changed respectively</t>
  </si>
  <si>
    <t>Main Office Entrance</t>
  </si>
  <si>
    <t>Repair of office entrance</t>
  </si>
  <si>
    <t>Replacement of door swinger &amp; labour</t>
  </si>
  <si>
    <t>The need compressor</t>
  </si>
  <si>
    <t>The compressor is working well now</t>
  </si>
  <si>
    <t>Block A</t>
  </si>
  <si>
    <t>Main entrance door and first floor door foot mat</t>
  </si>
  <si>
    <t>Key replacement for 4 doors and footmat replaced</t>
  </si>
  <si>
    <t>Emmanuel Akpan</t>
  </si>
  <si>
    <t>Replaced locker key</t>
  </si>
  <si>
    <t>Locker key was replaced</t>
  </si>
  <si>
    <t>Sarah Vencent</t>
  </si>
  <si>
    <t>Light blinking</t>
  </si>
  <si>
    <t>Replacement of 60x60 LED light</t>
  </si>
  <si>
    <t>Third Floor men/women toilet</t>
  </si>
  <si>
    <t>Faulty lighting fittings</t>
  </si>
  <si>
    <t>12 Watts (2) and 6 watts (1) for 3rd floor, 12watts (1) &amp; 6 watts (1) 2 watts and 12watts (1)</t>
  </si>
  <si>
    <t>Nwarisi Sylver</t>
  </si>
  <si>
    <t xml:space="preserve">First Floor </t>
  </si>
  <si>
    <t>The extension keep sparking during useage needs replacement</t>
  </si>
  <si>
    <t>Replacement of extension socket ( 1pc )</t>
  </si>
  <si>
    <t>Okwu Ugochukwu</t>
  </si>
  <si>
    <t>Repair of office cabinent</t>
  </si>
  <si>
    <t>Repair was carried out on fallen part of cabinent</t>
  </si>
  <si>
    <t>Close to car park</t>
  </si>
  <si>
    <t>Pipe leakage in DGS pressure line</t>
  </si>
  <si>
    <t>Replacement of broken pipe { 1Pc=1''pipe, 1Pc= 1''socket, 1Pc=1Elbon Abro gum</t>
  </si>
  <si>
    <t>Dogoh Abiodun</t>
  </si>
  <si>
    <t xml:space="preserve">G1 </t>
  </si>
  <si>
    <t>The bed is very bad and is due to change</t>
  </si>
  <si>
    <t>The bed is good now</t>
  </si>
  <si>
    <t>No Cost</t>
  </si>
  <si>
    <t xml:space="preserve">Konboye </t>
  </si>
  <si>
    <t>Repair of chair</t>
  </si>
  <si>
    <t>Repair was carried out on broken part of the chair</t>
  </si>
  <si>
    <t>Block B ( Flat D )</t>
  </si>
  <si>
    <t>Change of 18watt surface bulb (2), 6watt inbedded (1) &amp; 6watt surface (1), 10watt ( general use )</t>
  </si>
  <si>
    <t>2 18 watt surface bulbs ( flat D ), 6 watt imbedded ( flat D ), 6 watt surface and 10 watt ( general use )</t>
  </si>
  <si>
    <t>Sivakumar Vairakkannu</t>
  </si>
  <si>
    <t>Block B ( Flat B )</t>
  </si>
  <si>
    <t>Angle valve replacement</t>
  </si>
  <si>
    <t>Block A ( G01, lanudry &amp; walkway )</t>
  </si>
  <si>
    <t>G01 ( 18watt surface LED ), Laundry ( 18w surface LED ) &amp; walkway ( 6watt, 3 quanties &amp; 3 gang switch )</t>
  </si>
  <si>
    <t>1 18Watt surface LED (G01), 1 18Watt surface LED (laundry), 3 6Watt LED imbedded &amp; Gang switch (walkway)</t>
  </si>
  <si>
    <t xml:space="preserve">first floor </t>
  </si>
  <si>
    <t>Kitchen sink tap head replacement</t>
  </si>
  <si>
    <t>Sink tap head replacement</t>
  </si>
  <si>
    <t>Block A, Tennis court libby</t>
  </si>
  <si>
    <t>Change of faulty AC switch</t>
  </si>
  <si>
    <t>Change of  AC switch</t>
  </si>
  <si>
    <t xml:space="preserve">Block B (Flat F ) </t>
  </si>
  <si>
    <t>6 Watts inbedded (3)</t>
  </si>
  <si>
    <t>Replacement of 6 watts inbedded light bulb (3)</t>
  </si>
  <si>
    <t>3rd floor male convenience</t>
  </si>
  <si>
    <t>Change of pan connector (1)</t>
  </si>
  <si>
    <t>Block A server room</t>
  </si>
  <si>
    <t>Change of 18 watt (1) surface LED light bulb</t>
  </si>
  <si>
    <t>Replacement of 18watt surface</t>
  </si>
  <si>
    <t xml:space="preserve">kingsley </t>
  </si>
  <si>
    <t>Woji Yard</t>
  </si>
  <si>
    <t>Use of welding tong (1), clamp (1) and cable joint connector ( male &amp; female ) -4</t>
  </si>
  <si>
    <t xml:space="preserve">1 Welding tong clamp, 1 Clamp, Male &amp; female socket (4pcs) </t>
  </si>
  <si>
    <t>Block A ( S02 )</t>
  </si>
  <si>
    <t>Replacement of 18 watt LED imbedded (2), 10 watt (2), pop 2 pin bulbs (4)</t>
  </si>
  <si>
    <t>Change of 18watt light bulb (2), 10watt light bulb (2) and Pop 2 pin bulbs</t>
  </si>
  <si>
    <t>Water treatment ( DR )</t>
  </si>
  <si>
    <t>Recoiling of faulty coils</t>
  </si>
  <si>
    <t>Recoiling of coil &amp; bearing and seal ( 2 Pump )</t>
  </si>
  <si>
    <t>DGS Residence</t>
  </si>
  <si>
    <t>Replacement of light bulbs</t>
  </si>
  <si>
    <t>18Watt surface LED(4), 18 Watt ordinary bulb (2), 10Watt ordinary bulb (5), Lamp holder bulb (1) and 7Watt imbedded (1)</t>
  </si>
  <si>
    <t>Victor</t>
  </si>
  <si>
    <t>Block B flat A</t>
  </si>
  <si>
    <t>Replacement of AC switch</t>
  </si>
  <si>
    <t>Esther Jack</t>
  </si>
  <si>
    <t>Extension</t>
  </si>
  <si>
    <t>Replacement of light bulb</t>
  </si>
  <si>
    <t>18 Watts imbedded LED (2)</t>
  </si>
  <si>
    <t>Zone 2 AC first floor</t>
  </si>
  <si>
    <t xml:space="preserve">A/C is not cooling </t>
  </si>
  <si>
    <t>F9, Dinning &amp; parlour sit out block A ( Table tennis )</t>
  </si>
  <si>
    <t>Faulty bulbs</t>
  </si>
  <si>
    <t xml:space="preserve">18 Watts imbedded  (2) for F9, 18 Watt normal bulbs for parlour sit out and 6 Watts (3) &amp; 18watt bulb (3) for dinning </t>
  </si>
  <si>
    <t>F17 &amp; sit out parlour for Ibrahim</t>
  </si>
  <si>
    <t>Replacement of faulty bulbs</t>
  </si>
  <si>
    <t xml:space="preserve">4 18Watts (2) LED surface for F17 &amp; 10Watts (2) &amp; 3 18Watts for Ibrahim sit out </t>
  </si>
  <si>
    <t>No voltage out-put</t>
  </si>
  <si>
    <t>Coil eneryg is due to dampness ( machine 1 ) and blown out fuse replaced ( Machine II )</t>
  </si>
  <si>
    <t>Treatment plant ( DR )</t>
  </si>
  <si>
    <t>Damage canop at water pump area</t>
  </si>
  <si>
    <t>Replacement of bend pipes, Sewing of broken canopy and Re-enforcement</t>
  </si>
  <si>
    <t>Kalio Solonye</t>
  </si>
  <si>
    <t>Second floor ( Seplat GMC office )</t>
  </si>
  <si>
    <t xml:space="preserve">Replacement of LED light on the second floor </t>
  </si>
  <si>
    <t>Light replacement 2pcs of LED ( 60 x 60 )</t>
  </si>
  <si>
    <t>Uyo</t>
  </si>
  <si>
    <t>CHAIRMAN UYO</t>
  </si>
  <si>
    <t>MD house ( boy quarter )</t>
  </si>
  <si>
    <t>Bad condenser</t>
  </si>
  <si>
    <t>Condenser replaced</t>
  </si>
  <si>
    <t>AK, UYO</t>
  </si>
  <si>
    <t>MD house ( Kitchen)</t>
  </si>
  <si>
    <t>Bad compressor 1pc</t>
  </si>
  <si>
    <t>Compressor replaced</t>
  </si>
  <si>
    <t>Camera room security</t>
  </si>
  <si>
    <t>Replaced of bad compressor 2HP at security camera room</t>
  </si>
  <si>
    <t>Replaced new compressor 2HP</t>
  </si>
  <si>
    <t>Water leaking from WC to be stoped already attended multiple times</t>
  </si>
  <si>
    <t>Replacement of palm conection 1Pc</t>
  </si>
  <si>
    <t>Workshop</t>
  </si>
  <si>
    <t>Fixing of the logistics tank</t>
  </si>
  <si>
    <t>Office</t>
  </si>
  <si>
    <t xml:space="preserve">New chairs </t>
  </si>
  <si>
    <t>DR block A</t>
  </si>
  <si>
    <t>Purchase of new pollows</t>
  </si>
  <si>
    <t>DR Block A</t>
  </si>
  <si>
    <t>Foot mat / fans at bushbar &amp; kitchen</t>
  </si>
  <si>
    <t>Flat AAA</t>
  </si>
  <si>
    <t>Modification ( MD flat )</t>
  </si>
  <si>
    <t>Ongoing</t>
  </si>
  <si>
    <t xml:space="preserve">G2 </t>
  </si>
  <si>
    <t>AC is not working well</t>
  </si>
  <si>
    <t>AC is cooling now</t>
  </si>
  <si>
    <t>Godgft</t>
  </si>
  <si>
    <t xml:space="preserve"> G6</t>
  </si>
  <si>
    <t>Car park</t>
  </si>
  <si>
    <t>Painting office inside part / car park ceiling</t>
  </si>
  <si>
    <t>Staircase windows Net need to be fix</t>
  </si>
  <si>
    <t>Block A ( S02 &amp; S03 )</t>
  </si>
  <si>
    <t>Painting of the rooms S02 &amp; S03</t>
  </si>
  <si>
    <t>Damage zinc at woji workshop</t>
  </si>
  <si>
    <t>Damage zinc at woji workshop fixed</t>
  </si>
  <si>
    <t xml:space="preserve">( SCRAP ) Chair, bulbs, AC, account, HR document </t>
  </si>
  <si>
    <t>Mopol quarter</t>
  </si>
  <si>
    <t>Damage wash hand basin</t>
  </si>
  <si>
    <t>Damage wash hand basin fixed</t>
  </si>
  <si>
    <t>Flat C ( DR )</t>
  </si>
  <si>
    <t xml:space="preserve"> freezer needs to replaced</t>
  </si>
  <si>
    <t>Replacement of freezer</t>
  </si>
  <si>
    <t>Water dispenser is not working needs to be checked</t>
  </si>
  <si>
    <t>Water dispenser pruchase</t>
  </si>
  <si>
    <t xml:space="preserve">Four floor </t>
  </si>
  <si>
    <t>Flower pot leakage</t>
  </si>
  <si>
    <t>Main Office</t>
  </si>
  <si>
    <t>Faulty office fire alarm panel</t>
  </si>
  <si>
    <t>Second floor kitchen</t>
  </si>
  <si>
    <t>Faulty water dispenser</t>
  </si>
  <si>
    <t xml:space="preserve">Installation of three floor pressure pump </t>
  </si>
  <si>
    <t xml:space="preserve"> Wash hand basin for woji workshop</t>
  </si>
  <si>
    <t>DGS Master bedroom</t>
  </si>
  <si>
    <t>Purchase of new AC</t>
  </si>
  <si>
    <t>DNV OFFICE</t>
  </si>
  <si>
    <t>Deck leakage</t>
  </si>
  <si>
    <t>Server room</t>
  </si>
  <si>
    <t>Office server room UPS bipping</t>
  </si>
  <si>
    <t>Mopol quarter toilet</t>
  </si>
  <si>
    <t>Mopol toilet is bad</t>
  </si>
  <si>
    <t>Mopol toilet is working now</t>
  </si>
  <si>
    <t>Block A  &amp; block B( DR )</t>
  </si>
  <si>
    <t>Roof manhole for block A &amp; block B</t>
  </si>
  <si>
    <t>Mopol quarter ( DR )</t>
  </si>
  <si>
    <t>Request  for fumigation of bedbugs in mopol quarter in DR</t>
  </si>
  <si>
    <t xml:space="preserve">Prince Obinna </t>
  </si>
  <si>
    <t>Main office</t>
  </si>
  <si>
    <t>Waste bin replacement</t>
  </si>
  <si>
    <t>Car park (DR)</t>
  </si>
  <si>
    <t>Washing of car park floor in DR</t>
  </si>
  <si>
    <t>Diesel tank replacement</t>
  </si>
  <si>
    <t>Levi</t>
  </si>
  <si>
    <t>Woji store</t>
  </si>
  <si>
    <t>Store roof &amp; Mopol roof leakage for Woji</t>
  </si>
  <si>
    <t>Second floor meeting room</t>
  </si>
  <si>
    <t>Second floor meeting roof repositioning Or Partioning</t>
  </si>
  <si>
    <t>Replacement of faulty electrical extension</t>
  </si>
  <si>
    <t xml:space="preserve">PHC OFFICE </t>
  </si>
  <si>
    <t>Paint house</t>
  </si>
  <si>
    <t>Faulty 2nd office 30KVA UPS</t>
  </si>
  <si>
    <t>Mopol quarter DR</t>
  </si>
  <si>
    <t>Mopol parlour &amp; kitchen door is bed</t>
  </si>
  <si>
    <t>First floor ( DR)</t>
  </si>
  <si>
    <t>F7 &amp; F8 the toilet is leaking water</t>
  </si>
  <si>
    <t>LOCATION DROP DOWN LIST</t>
  </si>
  <si>
    <t>EQUIPMENT JUSTIFICATION / EVALUATION</t>
  </si>
  <si>
    <t>VEHICLE JUSTIFICATION / EVALUATION</t>
  </si>
  <si>
    <t>EQUIPMENT</t>
  </si>
  <si>
    <t>VEHICLE</t>
  </si>
  <si>
    <t>AK, LAGOS</t>
  </si>
  <si>
    <t>ABUJA</t>
  </si>
  <si>
    <t xml:space="preserve"> Maintenance &amp; Repair required to keep the equipment functional </t>
  </si>
  <si>
    <t>BONNY</t>
  </si>
  <si>
    <t>LAGOS</t>
  </si>
  <si>
    <t>LAGOS OFFICE</t>
  </si>
  <si>
    <t>UYO</t>
  </si>
  <si>
    <t>LAGOS GUEST HOUSE</t>
  </si>
  <si>
    <t>WARRI</t>
  </si>
  <si>
    <t>TOMY</t>
  </si>
  <si>
    <t>CHAIRMAN, UYO</t>
  </si>
  <si>
    <t>TOMY RESIDENCE</t>
  </si>
  <si>
    <t>AK GUEST HOUSE, LAGOS</t>
  </si>
  <si>
    <t>EQUIPMENT STATUS</t>
  </si>
  <si>
    <t>VEHICLE STATUS</t>
  </si>
  <si>
    <t>FACILITY STATUS</t>
  </si>
  <si>
    <t>Awaiting Funds</t>
  </si>
  <si>
    <t>S/NO</t>
  </si>
  <si>
    <t>Asset Tag Number</t>
  </si>
  <si>
    <t>Reg No.</t>
  </si>
  <si>
    <t>Vehicle Make</t>
  </si>
  <si>
    <t xml:space="preserve">PF 4079 SPY - PRADO </t>
  </si>
  <si>
    <t xml:space="preserve">PRADO </t>
  </si>
  <si>
    <t xml:space="preserve">PHC 185 AM - NISSAN PICKUP </t>
  </si>
  <si>
    <t xml:space="preserve">NISSAN PICKUP </t>
  </si>
  <si>
    <t xml:space="preserve">PHC 178 AM - NISSAN NAVARA </t>
  </si>
  <si>
    <t xml:space="preserve">NISSAN NAVARA </t>
  </si>
  <si>
    <t xml:space="preserve">KRD 341 CE - PRADO </t>
  </si>
  <si>
    <t xml:space="preserve">KRD 339 CE - PRADO </t>
  </si>
  <si>
    <t xml:space="preserve">KRD 338 CE - PRADO </t>
  </si>
  <si>
    <t xml:space="preserve">PHC 177 AM - TOYOTA PRADO </t>
  </si>
  <si>
    <t xml:space="preserve">TOYOTA PRADO </t>
  </si>
  <si>
    <t xml:space="preserve">GGU 693 TX - TOYOTA HILUX </t>
  </si>
  <si>
    <t xml:space="preserve">TOYOTA HILUX </t>
  </si>
  <si>
    <t xml:space="preserve">GGU 692 TX - TOYOTA HILUX </t>
  </si>
  <si>
    <t xml:space="preserve">PHC 179 AM - TOYOTA HILUX  </t>
  </si>
  <si>
    <t xml:space="preserve">TOYOTA HILUX  </t>
  </si>
  <si>
    <t xml:space="preserve">GGU 695 TX - TOYOTA HILUX  </t>
  </si>
  <si>
    <t xml:space="preserve">GGU 696 TX - TOYOTA HILUX </t>
  </si>
  <si>
    <t>CX 211 RBC - TOYOTA CAMRY</t>
  </si>
  <si>
    <t>TOYOTA CAMRY</t>
  </si>
  <si>
    <t xml:space="preserve">GGE 70 AY  - LANDCRUISER </t>
  </si>
  <si>
    <t xml:space="preserve">LANDCRUISER </t>
  </si>
  <si>
    <t xml:space="preserve">LSD 65 BP - HYUNDAI CAR </t>
  </si>
  <si>
    <t xml:space="preserve">HYUNDAI CAR </t>
  </si>
  <si>
    <t xml:space="preserve">AGL 105 BU - TOYOTA HIACE BUS </t>
  </si>
  <si>
    <t xml:space="preserve">TOYOTA HIACE BUS </t>
  </si>
  <si>
    <t xml:space="preserve">SMK 126 CE - LAND CRUISER </t>
  </si>
  <si>
    <t xml:space="preserve">LAND CRUISER </t>
  </si>
  <si>
    <t xml:space="preserve">KRD 407 CG / PF 2414 SPY - TOYOTA HILUX </t>
  </si>
  <si>
    <t xml:space="preserve">KRD 406 CG / PF 2415 SPY - TOYOTA HILUX </t>
  </si>
  <si>
    <t xml:space="preserve">KTU 905 CK - TOYOTA HIACE BUS </t>
  </si>
  <si>
    <t xml:space="preserve">JJJ 599 CM - LEXUS LX 570 SUV </t>
  </si>
  <si>
    <t xml:space="preserve">LEXUS LX 570 SUV </t>
  </si>
  <si>
    <t xml:space="preserve">JJJ 597 CM - LEXUS LX 570 SUV </t>
  </si>
  <si>
    <t xml:space="preserve">AKD 90 CP - TOYOTA PRADO VX </t>
  </si>
  <si>
    <t xml:space="preserve">TOYOTA PRADO VX </t>
  </si>
  <si>
    <t xml:space="preserve">SMK 179 CW - TOYOYA CAMRY XLE </t>
  </si>
  <si>
    <t xml:space="preserve">TOYOYA CAMRY XLE </t>
  </si>
  <si>
    <t xml:space="preserve">APP 785 CU / PF 253 SPY - LEXUS LX570, B6 ARMOURED </t>
  </si>
  <si>
    <t xml:space="preserve">LEXUS LX570, B6 ARMOURED </t>
  </si>
  <si>
    <t xml:space="preserve">FKJ 877 DB - TOYOTA LANDCRUISER </t>
  </si>
  <si>
    <t xml:space="preserve">TOYOTA LANDCRUISER </t>
  </si>
  <si>
    <t xml:space="preserve">FKJ 876 DB - TOYOTA LANDCRUISER </t>
  </si>
  <si>
    <t xml:space="preserve">LSR 261 CX - TOYOTA PRADO VX </t>
  </si>
  <si>
    <t xml:space="preserve">SMK 51 DM - HYUNDAI IX 35 ELEGANCE </t>
  </si>
  <si>
    <t xml:space="preserve">HYUNDAI IX 35 ELEGANCE </t>
  </si>
  <si>
    <t xml:space="preserve">SMK 48 DM - HYUNDAI SANTA FE IX 45 </t>
  </si>
  <si>
    <t xml:space="preserve">HYUNDAI SANTA FE IX 45 </t>
  </si>
  <si>
    <t xml:space="preserve">FKJ 862 DJ - HYUNDAI IX 35 ELEGANCE </t>
  </si>
  <si>
    <t xml:space="preserve">FKJ 988 DJ - HYUNDAI IX 35 ELEGANCE </t>
  </si>
  <si>
    <t xml:space="preserve">GGE 223 DK - HYUNDAI IX 35 ELEGANCE </t>
  </si>
  <si>
    <t xml:space="preserve">SMK 50 DM - HYUNDAI SANTA FE IX 45 ELEGANCE </t>
  </si>
  <si>
    <t xml:space="preserve">HYUNDAI SANTA FE IX 45 ELEGANCE </t>
  </si>
  <si>
    <t xml:space="preserve">APP 40 DQ - KIA SPORTAGE BLACK PEARL </t>
  </si>
  <si>
    <t xml:space="preserve">KIA SPORTAGE BLACK PEARL </t>
  </si>
  <si>
    <t xml:space="preserve">APP 42 DQ - KIA CERATO </t>
  </si>
  <si>
    <t xml:space="preserve">KIA CERATO </t>
  </si>
  <si>
    <t xml:space="preserve">APP 41 DQ  - LEXUS GX </t>
  </si>
  <si>
    <t xml:space="preserve">LEXUS GX </t>
  </si>
  <si>
    <t xml:space="preserve">APP 43 DQ - LEXUS GX 470 JEEP </t>
  </si>
  <si>
    <t xml:space="preserve">LEXUS GX 470 JEEP </t>
  </si>
  <si>
    <t xml:space="preserve">PHC 896 FW - NISSAN NAVARA PICKUP </t>
  </si>
  <si>
    <t xml:space="preserve">NISSAN NAVARA PICKUP </t>
  </si>
  <si>
    <t xml:space="preserve">PHC 895 FW - NISSAN NAVARA PICKUP </t>
  </si>
  <si>
    <t xml:space="preserve">PHC 118 NT - NISSAN PICKUP NP300  </t>
  </si>
  <si>
    <t xml:space="preserve">NISSAN PICKUP NP300  </t>
  </si>
  <si>
    <t xml:space="preserve">LND 583 ET - TOYOTA FORTUNER </t>
  </si>
  <si>
    <t xml:space="preserve">TOYOTA FORTUNER </t>
  </si>
  <si>
    <t xml:space="preserve">APP 388 ET - TOYOTA FORTUNER </t>
  </si>
  <si>
    <t xml:space="preserve">NCH 53 ST - MITSUBISHI OUTLANDER </t>
  </si>
  <si>
    <t xml:space="preserve">MITSUBISHI OUTLANDER </t>
  </si>
  <si>
    <t xml:space="preserve">NCH 52 ST - MITSUBISHI OUTLANDER </t>
  </si>
  <si>
    <t xml:space="preserve">AGL 272 EU - TOYOTA HILUX PICKUP </t>
  </si>
  <si>
    <t xml:space="preserve">TOYOTA HILUX PICKUP </t>
  </si>
  <si>
    <t xml:space="preserve">AGL 273 EU - TOYOTA HILUX PICKUP </t>
  </si>
  <si>
    <t xml:space="preserve">AGL 274 EU - TOYOTA HILUX PICKUP </t>
  </si>
  <si>
    <t xml:space="preserve">AGL 275 EU - TOYOTA HILUX PICKUP </t>
  </si>
  <si>
    <t xml:space="preserve">PHC 82 AJ - TOYOTA HILUX PICKUP </t>
  </si>
  <si>
    <t xml:space="preserve">EPE-776-EW - NISSAN URVAN 15 SEATER BUS </t>
  </si>
  <si>
    <t xml:space="preserve">NISSAN URVAN 15 SEATER BUS </t>
  </si>
  <si>
    <t xml:space="preserve">KTU 570 EU - HYUNDAI TUCSON EVOLUTION </t>
  </si>
  <si>
    <t xml:space="preserve">HYUNDAI TUCSON EVOLUTION </t>
  </si>
  <si>
    <t xml:space="preserve">KSF 375 EY - NISSAN PICKUP NP300 </t>
  </si>
  <si>
    <t xml:space="preserve">NISSAN PICKUP NP300 </t>
  </si>
  <si>
    <t xml:space="preserve">KSF 376 EY - NISSAN PICKUP NP300 </t>
  </si>
  <si>
    <t xml:space="preserve">NCH 54 ST - FOTON VIEW C1 MHR 15-SEATER BUS </t>
  </si>
  <si>
    <t xml:space="preserve">FOTON VIEW C1 MHR 15-SEATER BUS </t>
  </si>
  <si>
    <t xml:space="preserve">BDG 285 FA - TOYOTA RAV4  </t>
  </si>
  <si>
    <t xml:space="preserve">TOYOTA RAV4  </t>
  </si>
  <si>
    <t xml:space="preserve">BDG 286 FA - TOYOTA RAV4 </t>
  </si>
  <si>
    <t xml:space="preserve">TOYOTA RAV4 </t>
  </si>
  <si>
    <t xml:space="preserve">LSR 74 FC - TOYOTA LAND CRUISER  </t>
  </si>
  <si>
    <t xml:space="preserve">TOYOTA LAND CRUISER  </t>
  </si>
  <si>
    <t xml:space="preserve">YAB 47 NQ - TOYOTA LANDCRUISER </t>
  </si>
  <si>
    <t xml:space="preserve">APP 231 FQ - LEXUS GX470 JEEP </t>
  </si>
  <si>
    <t xml:space="preserve">LEXUS GX470 JEEP </t>
  </si>
  <si>
    <t xml:space="preserve">SKN 317 AU - TOYOTA HIACE STANDARD ROOF AMBULANCE </t>
  </si>
  <si>
    <t xml:space="preserve">TOYOTA HIACE </t>
  </si>
  <si>
    <t>PRIVATE (GML1)</t>
  </si>
  <si>
    <t>BDG 159 CL - TOYOTA CAMRY</t>
  </si>
  <si>
    <t>PRIVATE (AK1)</t>
  </si>
  <si>
    <t>AKD 407 BD - TOYOTA PRADO</t>
  </si>
  <si>
    <t>TOYOTA PRADO</t>
  </si>
  <si>
    <t>PRIVATE (AK2)</t>
  </si>
  <si>
    <t>AJ 464 AJ - TOYOTA PRADO</t>
  </si>
  <si>
    <t>PRIVATE (DGS)</t>
  </si>
  <si>
    <t>AAA 07 UB - RANGE ROVER</t>
  </si>
  <si>
    <t>RANGE ROVER</t>
  </si>
  <si>
    <t>FST 06 AZ - TOYOTA PRADO</t>
  </si>
  <si>
    <t>PRIVATE (CHAIRMAN)</t>
  </si>
  <si>
    <t>AKD 490 SU - TOYOTA PRADO</t>
  </si>
  <si>
    <t>PRIVATE (AK3)</t>
  </si>
  <si>
    <t>KSF 761 DV - LEXUS</t>
  </si>
  <si>
    <t>LEXUS</t>
  </si>
  <si>
    <t>PRIVATE (DGS2)</t>
  </si>
  <si>
    <t>DE 51 CON - MERCEDES G-WAGON</t>
  </si>
  <si>
    <t>MERCEDES G-WAGON</t>
  </si>
  <si>
    <t>PRIVATE (AK4)</t>
  </si>
  <si>
    <t>RBC 899 HN - TOYOTA HILUX</t>
  </si>
  <si>
    <t>TOYOTA HILUX</t>
  </si>
  <si>
    <t>PRIVATE (AK5)</t>
  </si>
  <si>
    <t>EPE 520 CH - TOYOTA PRADO</t>
  </si>
  <si>
    <t>PRIVATE (ANIEK U)</t>
  </si>
  <si>
    <t>AKD 380 EJ</t>
  </si>
  <si>
    <t>WRANGLER JEEP</t>
  </si>
  <si>
    <t>PRIVATE (AK6)</t>
  </si>
  <si>
    <t>BMW 6 SERIES</t>
  </si>
  <si>
    <t xml:space="preserve">DBU 519 AA - TOYOTA HILUX </t>
  </si>
  <si>
    <t>DBU 710 AA - TOYOTA HIACE BUS (DIESEL ENGINE)</t>
  </si>
  <si>
    <t>FA000054</t>
  </si>
  <si>
    <t>AFM 673 GL - TOYOTA FORTUNER</t>
  </si>
  <si>
    <t>TOYOTA FORTUNER</t>
  </si>
  <si>
    <t>FA000059</t>
  </si>
  <si>
    <t>AFM 301 GL -TOYOTA URBAN CRUISER</t>
  </si>
  <si>
    <t>TOYOTA URBAN CRUISER</t>
  </si>
  <si>
    <t>FA000060</t>
  </si>
  <si>
    <t>AFM 674 GL - TOYOTA URBAN CRUISER</t>
  </si>
  <si>
    <t>FA000055</t>
  </si>
  <si>
    <t>AFM 302 GL - TOYOTA HIACE BUS (DIESEL ENGINE)</t>
  </si>
  <si>
    <t>FA000056</t>
  </si>
  <si>
    <t>AFM 304 GL - TOYOTA HILUX</t>
  </si>
  <si>
    <t>AFM 303 GL - TOYOTA HILUX</t>
  </si>
  <si>
    <t>FA000058</t>
  </si>
  <si>
    <t>AFM 675 GL - TOYOTA HILUX</t>
  </si>
  <si>
    <t>S/N</t>
  </si>
  <si>
    <t>Generator Details</t>
  </si>
  <si>
    <t>Location</t>
  </si>
  <si>
    <t xml:space="preserve">Custodian </t>
  </si>
  <si>
    <t>FACILITIES</t>
  </si>
  <si>
    <t>WOJI YARD FG WILSON 40KVA GENERATOR</t>
  </si>
  <si>
    <t>Port Harcourt</t>
  </si>
  <si>
    <t>JAN</t>
  </si>
  <si>
    <t>AK LAGOS 80KVA GENERATOR</t>
  </si>
  <si>
    <t>Lagos</t>
  </si>
  <si>
    <t>AK Residence</t>
  </si>
  <si>
    <t>FEB</t>
  </si>
  <si>
    <t>DGS PERKINS 50KVA GENERATOR</t>
  </si>
  <si>
    <t>MAR</t>
  </si>
  <si>
    <t>TOMY PERKINS 80KVA GENERATOR</t>
  </si>
  <si>
    <t>Tomy's Residence</t>
  </si>
  <si>
    <t>APR</t>
  </si>
  <si>
    <t>TOMY PERKINS 40KVA GENERATOR</t>
  </si>
  <si>
    <t>DMD RESIDENCE</t>
  </si>
  <si>
    <t>MAY</t>
  </si>
  <si>
    <t>LAGOS OFFICE PERKINS 100KVA GENERATOR</t>
  </si>
  <si>
    <t>Lagos Office</t>
  </si>
  <si>
    <t>MD RESIDENCE</t>
  </si>
  <si>
    <t>JUN</t>
  </si>
  <si>
    <t>GML M SALEH 50KVA GENERATOR</t>
  </si>
  <si>
    <t>GML Residence</t>
  </si>
  <si>
    <t>JUL</t>
  </si>
  <si>
    <t>GML PERKINS 50KVA GENERATOR</t>
  </si>
  <si>
    <t>AUG</t>
  </si>
  <si>
    <t>PHC OFFICE MIKANO 200KVA GENERATOR</t>
  </si>
  <si>
    <t>Port Harcourt Office</t>
  </si>
  <si>
    <t>SEP</t>
  </si>
  <si>
    <t>LAGOS OFFICE CUMMINS 135KVA GENERATOR</t>
  </si>
  <si>
    <t>OCT</t>
  </si>
  <si>
    <t>PHC OFFICE CAT 350KVA GENERATOR</t>
  </si>
  <si>
    <t>NOV</t>
  </si>
  <si>
    <t>AK LAGOS CAT 100KVA GENERATOR</t>
  </si>
  <si>
    <t>DEC</t>
  </si>
  <si>
    <t>DGS MIKANO 50KVA GENERATOR</t>
  </si>
  <si>
    <t>CHAIRMAN'S MIKANO 50KVA GENERATOR</t>
  </si>
  <si>
    <t>Chairman's Residence</t>
  </si>
  <si>
    <t>BONNY PERKINS 60KVA GENERATOR</t>
  </si>
  <si>
    <t>Bonny</t>
  </si>
  <si>
    <t>Bonny Desicon Guest House</t>
  </si>
  <si>
    <t>DR CUMMINS 275KVA GENERATOR</t>
  </si>
  <si>
    <t>Desicon Guest House</t>
  </si>
  <si>
    <t>PHC OFFICE CUMMINS 275KVA GENERATOR</t>
  </si>
  <si>
    <t>AK UYO MARAPCO 100KVA GENERATOR</t>
  </si>
  <si>
    <t>CHAIRMAN'S PERKINS 30KVA GENERATOR</t>
  </si>
  <si>
    <t>CHAIRMAN'S PERKINS 47KVA GENERATOR</t>
  </si>
  <si>
    <t>CHRM40</t>
  </si>
  <si>
    <t>CHAIRMAN'S PERKINS 40KVA GENERATOR</t>
  </si>
  <si>
    <t>Uyo - Village</t>
  </si>
  <si>
    <t>AK UYO PERKINS 100KVA GENERATOR</t>
  </si>
  <si>
    <t>MDYO65</t>
  </si>
  <si>
    <t>AK UYO PERKINS 65KVA GENERATOR</t>
  </si>
  <si>
    <t>MDLAG20</t>
  </si>
  <si>
    <t>AK LAGOS 20KVA GENERATOR</t>
  </si>
  <si>
    <t>DR FG WILSON 150KVA GENERATOR</t>
  </si>
  <si>
    <t xml:space="preserve">OVERALL MAINTENANCE COST  - </t>
  </si>
  <si>
    <t>EQUIPMENT DATA</t>
  </si>
  <si>
    <t>VEHICLE DATA</t>
  </si>
  <si>
    <t>FACILITY DATA</t>
  </si>
  <si>
    <t>TOTAL COST</t>
  </si>
  <si>
    <t>MAINTENANCE COST</t>
  </si>
  <si>
    <t>Grand Total</t>
  </si>
  <si>
    <t>(blank)</t>
  </si>
  <si>
    <t>OTHER LOCATIONS</t>
  </si>
  <si>
    <t>OTHERS</t>
  </si>
  <si>
    <t>Abuja</t>
  </si>
  <si>
    <t>AK GUEST HOUSE, LAGOG</t>
  </si>
  <si>
    <t>VEHICLE MONTHLY MAINTENANCE COST</t>
  </si>
  <si>
    <t>VEHICLE MONTHLY PERCENTAGE DEVIATION</t>
  </si>
  <si>
    <t>DEC, 2023</t>
  </si>
  <si>
    <t>Percentage Deviation</t>
  </si>
  <si>
    <t>Aug</t>
  </si>
  <si>
    <t>Sep</t>
  </si>
  <si>
    <t>Oct</t>
  </si>
  <si>
    <t>MONTHLY EQUIPMENT MAINTENANCE COST</t>
  </si>
  <si>
    <t>MONTHLY EQUIPMENT PERCENTAGE DEVIATION</t>
  </si>
  <si>
    <t>FACILITY MONTHLY MAINTENANCE COST</t>
  </si>
  <si>
    <t>FACILITY MONTHLY PERCENTAGE DEVIATION</t>
  </si>
  <si>
    <t>2023 Dec</t>
  </si>
  <si>
    <t xml:space="preserve">Percentage Deviation </t>
  </si>
  <si>
    <t xml:space="preserve"> MONTHS</t>
  </si>
  <si>
    <t xml:space="preserve"> MAINTENANCE COST</t>
  </si>
  <si>
    <t>DEC. 2023</t>
  </si>
  <si>
    <t>EQUIPMENT DECRIPTION</t>
  </si>
  <si>
    <t>EQUIPMENT NOTIFICATION</t>
  </si>
  <si>
    <t>VEHICLE NOTIFICATION</t>
  </si>
  <si>
    <t>Closed</t>
  </si>
  <si>
    <t>Open</t>
  </si>
  <si>
    <t>Vehicle vs Equipment vs Facility Graph</t>
  </si>
  <si>
    <t>Column1</t>
  </si>
  <si>
    <t xml:space="preserve"> VEHICLE</t>
  </si>
  <si>
    <t>EQUIPMENT PERCENTAGE CHANGE DATA</t>
  </si>
  <si>
    <t>COST</t>
  </si>
  <si>
    <t>VARIANCE</t>
  </si>
  <si>
    <t>%DIFFERENCE</t>
  </si>
  <si>
    <t>LABELLE(XY)</t>
  </si>
  <si>
    <t>INCREASE</t>
  </si>
  <si>
    <t>DECREASE</t>
  </si>
  <si>
    <t>2023 DEC</t>
  </si>
  <si>
    <t>VEHICLE PERCENTAGE CHANGE DATA</t>
  </si>
  <si>
    <t>FACILITY PERCENTAGE CHANGE DATA</t>
  </si>
  <si>
    <t>Row Labels</t>
  </si>
  <si>
    <t>OVERAL COST PER LOCATION</t>
  </si>
  <si>
    <t>NEXT SERVICE MILEAGE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</si>
</sst>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quot;$&quot;#,##0.00"/>
    <numFmt numFmtId="166" formatCode="[$-409]mmmm\ d\,\ yyyy;@"/>
    <numFmt numFmtId="167" formatCode="#0.0,&quot;K&quot;"/>
    <numFmt numFmtId="168" formatCode="#0.00,,&quot;M&quot;"/>
    <numFmt numFmtId="169" formatCode="[$]d\ mmm\ yyyy;@" x16r2:formatCode16="[$-en-NG,1]d\ mmm\ yyyy;@"/>
  </numFmts>
  <fonts count="43">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1"/>
      <color theme="3"/>
      <name val="Calibri"/>
      <family val="2"/>
      <scheme val="minor"/>
    </font>
    <font>
      <sz val="11"/>
      <color theme="3"/>
      <name val="Calibri"/>
      <family val="2"/>
      <scheme val="minor"/>
    </font>
    <font>
      <sz val="11"/>
      <color theme="5" tint="-0.24994659260841701"/>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name val="Arial"/>
      <family val="2"/>
    </font>
    <font>
      <sz val="11"/>
      <color rgb="FF000000"/>
      <name val="Calibri"/>
      <family val="2"/>
      <scheme val="minor"/>
    </font>
    <font>
      <b/>
      <sz val="11"/>
      <color rgb="FF000000"/>
      <name val="Calibri"/>
      <family val="2"/>
      <scheme val="minor"/>
    </font>
    <font>
      <b/>
      <sz val="12"/>
      <color theme="1"/>
      <name val="Calibri"/>
      <family val="2"/>
      <scheme val="minor"/>
    </font>
    <font>
      <b/>
      <sz val="11"/>
      <name val="Calibri"/>
      <family val="2"/>
      <scheme val="minor"/>
    </font>
    <font>
      <sz val="9"/>
      <color theme="0" tint="-0.249977111117893"/>
      <name val="Calibri"/>
      <family val="2"/>
      <scheme val="minor"/>
    </font>
    <font>
      <b/>
      <sz val="14"/>
      <color theme="0"/>
      <name val="Calibri"/>
      <family val="2"/>
      <scheme val="minor"/>
    </font>
    <font>
      <b/>
      <sz val="12"/>
      <color theme="0"/>
      <name val="Calibri"/>
      <family val="2"/>
      <scheme val="minor"/>
    </font>
    <font>
      <b/>
      <sz val="16"/>
      <color theme="0"/>
      <name val="Calibri"/>
      <family val="2"/>
      <scheme val="minor"/>
    </font>
    <font>
      <i/>
      <sz val="11"/>
      <color theme="0"/>
      <name val="Calibri"/>
      <family val="2"/>
      <scheme val="minor"/>
    </font>
    <font>
      <sz val="11"/>
      <name val="Calibri Light"/>
      <family val="2"/>
      <scheme val="major"/>
    </font>
    <font>
      <sz val="11"/>
      <color theme="3"/>
      <name val="Calibri Light"/>
      <family val="2"/>
      <scheme val="major"/>
    </font>
    <font>
      <sz val="11"/>
      <color theme="3"/>
      <name val="Arial Black"/>
      <family val="2"/>
    </font>
    <font>
      <sz val="11"/>
      <color rgb="FF002060"/>
      <name val="Arial"/>
      <family val="2"/>
    </font>
    <font>
      <b/>
      <sz val="11"/>
      <name val="Calibri Light"/>
      <family val="2"/>
      <scheme val="major"/>
    </font>
    <font>
      <sz val="11"/>
      <name val="Calibri"/>
      <scheme val="minor"/>
    </font>
    <font>
      <sz val="16"/>
      <name val="Calibri"/>
      <family val="2"/>
      <scheme val="minor"/>
    </font>
    <font>
      <sz val="16"/>
      <color theme="1"/>
      <name val="Calibri"/>
      <family val="2"/>
      <scheme val="minor"/>
    </font>
    <font>
      <sz val="16"/>
      <name val="Calibri"/>
      <scheme val="minor"/>
    </font>
    <font>
      <sz val="16"/>
      <color theme="1"/>
      <name val="Calibri"/>
      <scheme val="minor"/>
    </font>
    <font>
      <sz val="14"/>
      <name val="Calibri"/>
      <family val="2"/>
      <scheme val="minor"/>
    </font>
    <font>
      <sz val="14"/>
      <name val="Calibri Light"/>
      <family val="2"/>
      <scheme val="major"/>
    </font>
    <font>
      <sz val="14"/>
      <color theme="1"/>
      <name val="Calibri"/>
      <family val="2"/>
      <scheme val="minor"/>
    </font>
    <font>
      <sz val="14"/>
      <color theme="3"/>
      <name val="Calibri Light"/>
      <family val="2"/>
      <scheme val="major"/>
    </font>
    <font>
      <sz val="14"/>
      <color theme="3"/>
      <name val="Arial Black"/>
      <family val="2"/>
    </font>
    <font>
      <sz val="14"/>
      <color rgb="FF002060"/>
      <name val="Arial"/>
      <family val="2"/>
    </font>
    <font>
      <b/>
      <sz val="14"/>
      <color theme="1"/>
      <name val="Calibri"/>
      <family val="2"/>
      <scheme val="minor"/>
    </font>
    <font>
      <sz val="14"/>
      <name val="Calibri"/>
      <scheme val="minor"/>
    </font>
    <font>
      <sz val="12"/>
      <color theme="1"/>
      <name val="Calibri"/>
      <family val="2"/>
      <scheme val="minor"/>
    </font>
    <font>
      <b/>
      <sz val="12"/>
      <name val="Calibri"/>
      <family val="2"/>
      <scheme val="minor"/>
    </font>
    <font>
      <sz val="12"/>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E7F3FD"/>
        <bgColor indexed="64"/>
      </patternFill>
    </fill>
    <fill>
      <patternFill patternType="solid">
        <fgColor rgb="FF222B3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002060"/>
        <bgColor indexed="64"/>
      </patternFill>
    </fill>
    <fill>
      <patternFill patternType="solid">
        <fgColor rgb="FF92D050"/>
        <bgColor indexed="64"/>
      </patternFill>
    </fill>
    <fill>
      <patternFill patternType="solid">
        <fgColor rgb="FFFF00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indexed="64"/>
      </left>
      <right/>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0">
    <xf numFmtId="0" fontId="0" fillId="0" borderId="0"/>
    <xf numFmtId="0" fontId="3" fillId="0" borderId="0" applyNumberFormat="0" applyFill="0" applyBorder="0" applyAlignment="0" applyProtection="0"/>
    <xf numFmtId="0" fontId="5" fillId="0" borderId="0" applyNumberFormat="0" applyFill="0" applyBorder="0" applyProtection="0">
      <alignment horizontal="right"/>
    </xf>
    <xf numFmtId="0" fontId="5" fillId="0" borderId="0" applyNumberFormat="0" applyFill="0" applyBorder="0" applyProtection="0">
      <alignment horizontal="left"/>
    </xf>
    <xf numFmtId="0" fontId="6" fillId="0" borderId="0" applyNumberFormat="0" applyFill="0" applyBorder="0" applyProtection="0">
      <alignment horizontal="left" wrapText="1"/>
    </xf>
    <xf numFmtId="0" fontId="4" fillId="0" borderId="0" applyNumberFormat="0" applyFill="0" applyBorder="0" applyProtection="0">
      <alignment vertical="center"/>
    </xf>
    <xf numFmtId="165" fontId="5" fillId="0" borderId="0" applyFill="0" applyBorder="0" applyProtection="0">
      <alignment vertical="center"/>
    </xf>
    <xf numFmtId="164" fontId="2" fillId="0" borderId="0" applyFont="0" applyFill="0" applyBorder="0" applyAlignment="0" applyProtection="0"/>
    <xf numFmtId="0" fontId="12" fillId="0" borderId="0"/>
    <xf numFmtId="9" fontId="2" fillId="0" borderId="0" applyFont="0" applyFill="0" applyBorder="0" applyAlignment="0" applyProtection="0"/>
  </cellStyleXfs>
  <cellXfs count="324">
    <xf numFmtId="0" fontId="0" fillId="0" borderId="0" xfId="0"/>
    <xf numFmtId="0" fontId="0" fillId="0" borderId="0" xfId="3" applyFont="1" applyAlignment="1">
      <alignment vertical="center"/>
    </xf>
    <xf numFmtId="0" fontId="2" fillId="0" borderId="1" xfId="4" applyFont="1" applyFill="1" applyBorder="1" applyAlignment="1">
      <alignment horizontal="center" vertical="center" wrapText="1"/>
    </xf>
    <xf numFmtId="0" fontId="2" fillId="0" borderId="1" xfId="4" applyFont="1" applyFill="1" applyBorder="1" applyAlignment="1">
      <alignment horizontal="center" wrapText="1"/>
    </xf>
    <xf numFmtId="4" fontId="0" fillId="2" borderId="6" xfId="4" applyNumberFormat="1" applyFont="1" applyFill="1" applyBorder="1" applyAlignment="1">
      <alignment horizontal="center" vertical="center" wrapText="1"/>
    </xf>
    <xf numFmtId="0" fontId="0" fillId="0" borderId="1" xfId="0" applyBorder="1" applyAlignment="1">
      <alignment horizontal="center" vertical="center" wrapText="1"/>
    </xf>
    <xf numFmtId="164" fontId="0" fillId="0" borderId="1" xfId="7" applyFont="1" applyFill="1" applyBorder="1" applyAlignment="1">
      <alignment horizontal="center" wrapText="1"/>
    </xf>
    <xf numFmtId="0" fontId="0" fillId="0" borderId="0" xfId="0" applyAlignment="1">
      <alignment horizontal="center"/>
    </xf>
    <xf numFmtId="0" fontId="8" fillId="0" borderId="1" xfId="4" applyFont="1" applyFill="1" applyBorder="1" applyAlignment="1">
      <alignment horizontal="center" vertical="center" wrapText="1"/>
    </xf>
    <xf numFmtId="0" fontId="9" fillId="3" borderId="11" xfId="4" applyFont="1" applyFill="1" applyBorder="1" applyAlignment="1">
      <alignment horizontal="center" vertical="center" wrapText="1"/>
    </xf>
    <xf numFmtId="166" fontId="8" fillId="0" borderId="4" xfId="4" applyNumberFormat="1" applyFont="1" applyFill="1" applyBorder="1" applyAlignment="1">
      <alignment horizontal="center" vertical="center" wrapText="1"/>
    </xf>
    <xf numFmtId="165" fontId="0" fillId="0" borderId="1" xfId="6" applyFont="1" applyFill="1" applyBorder="1" applyAlignment="1">
      <alignment horizontal="center" vertical="center"/>
    </xf>
    <xf numFmtId="165" fontId="0" fillId="0" borderId="1" xfId="6" applyFont="1" applyFill="1" applyBorder="1" applyAlignment="1">
      <alignment horizontal="center" vertical="center" wrapText="1"/>
    </xf>
    <xf numFmtId="0" fontId="14" fillId="5" borderId="14" xfId="0" applyFont="1" applyFill="1" applyBorder="1" applyAlignment="1">
      <alignment horizontal="center" vertical="center" wrapText="1"/>
    </xf>
    <xf numFmtId="0" fontId="0" fillId="0" borderId="1" xfId="0" applyBorder="1" applyAlignment="1">
      <alignment horizontal="center"/>
    </xf>
    <xf numFmtId="0" fontId="9" fillId="2" borderId="1" xfId="4" applyFont="1" applyFill="1" applyBorder="1" applyAlignment="1">
      <alignment horizontal="center" vertical="center" wrapText="1"/>
    </xf>
    <xf numFmtId="0" fontId="13" fillId="0" borderId="13" xfId="0" applyFont="1" applyBorder="1" applyAlignment="1">
      <alignment horizontal="center" vertical="top" wrapText="1"/>
    </xf>
    <xf numFmtId="164" fontId="0" fillId="0" borderId="1" xfId="7" applyFont="1" applyFill="1" applyBorder="1" applyAlignment="1">
      <alignment horizontal="center" vertical="center" wrapText="1"/>
    </xf>
    <xf numFmtId="0" fontId="14" fillId="5" borderId="14" xfId="0" applyFont="1" applyFill="1" applyBorder="1" applyAlignment="1">
      <alignment vertical="top" wrapText="1"/>
    </xf>
    <xf numFmtId="0" fontId="14" fillId="5" borderId="13" xfId="0" applyFont="1" applyFill="1" applyBorder="1" applyAlignment="1">
      <alignment horizontal="center" vertical="top" wrapText="1"/>
    </xf>
    <xf numFmtId="0" fontId="8" fillId="0" borderId="1" xfId="8" quotePrefix="1" applyFont="1" applyBorder="1" applyAlignment="1">
      <alignment horizontal="center" vertical="center" wrapText="1"/>
    </xf>
    <xf numFmtId="0" fontId="0" fillId="0" borderId="1" xfId="4" applyFont="1" applyFill="1" applyBorder="1" applyAlignment="1">
      <alignment horizontal="center" wrapText="1"/>
    </xf>
    <xf numFmtId="0" fontId="16" fillId="5" borderId="15" xfId="0" applyFont="1" applyFill="1" applyBorder="1" applyAlignment="1">
      <alignment horizontal="center" vertical="center" wrapText="1"/>
    </xf>
    <xf numFmtId="0" fontId="14" fillId="5" borderId="18" xfId="0" applyFont="1" applyFill="1" applyBorder="1" applyAlignment="1">
      <alignment horizontal="center" vertical="top" wrapText="1"/>
    </xf>
    <xf numFmtId="0" fontId="0" fillId="0" borderId="8" xfId="0" applyBorder="1" applyAlignment="1">
      <alignment horizontal="center"/>
    </xf>
    <xf numFmtId="0" fontId="13" fillId="0" borderId="13" xfId="0" applyFont="1" applyBorder="1" applyAlignment="1">
      <alignment vertical="top" wrapText="1"/>
    </xf>
    <xf numFmtId="0" fontId="13" fillId="0" borderId="14" xfId="0" applyFont="1" applyBorder="1" applyAlignment="1">
      <alignment horizontal="center" vertical="top" wrapText="1"/>
    </xf>
    <xf numFmtId="0" fontId="13" fillId="0" borderId="16" xfId="0" applyFont="1" applyBorder="1" applyAlignment="1">
      <alignment horizontal="center" vertical="top" wrapText="1"/>
    </xf>
    <xf numFmtId="0" fontId="13" fillId="0" borderId="15" xfId="0" applyFont="1" applyBorder="1" applyAlignment="1">
      <alignment vertical="top" wrapText="1"/>
    </xf>
    <xf numFmtId="0" fontId="13" fillId="0" borderId="17" xfId="0" applyFont="1" applyBorder="1" applyAlignment="1">
      <alignment horizontal="center" vertical="top" wrapText="1"/>
    </xf>
    <xf numFmtId="0" fontId="13" fillId="0" borderId="4" xfId="0" applyFont="1" applyBorder="1" applyAlignment="1">
      <alignment horizontal="center" vertical="top" wrapText="1"/>
    </xf>
    <xf numFmtId="0" fontId="13" fillId="0" borderId="1" xfId="0" applyFont="1" applyBorder="1" applyAlignment="1">
      <alignment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0" fillId="6" borderId="0" xfId="0" applyFill="1"/>
    <xf numFmtId="0" fontId="9" fillId="6" borderId="0" xfId="0" applyFont="1" applyFill="1"/>
    <xf numFmtId="0" fontId="0" fillId="6" borderId="0" xfId="0" applyFill="1" applyAlignment="1">
      <alignment horizontal="left"/>
    </xf>
    <xf numFmtId="164" fontId="0" fillId="6" borderId="0" xfId="0" applyNumberFormat="1" applyFill="1"/>
    <xf numFmtId="0" fontId="8" fillId="0" borderId="2" xfId="0" applyFont="1" applyBorder="1" applyAlignment="1">
      <alignment horizontal="center" vertical="top" wrapText="1"/>
    </xf>
    <xf numFmtId="0" fontId="8" fillId="0" borderId="2" xfId="8" applyFont="1" applyBorder="1" applyAlignment="1">
      <alignment horizontal="center" vertical="center" wrapText="1"/>
    </xf>
    <xf numFmtId="0" fontId="8" fillId="0" borderId="8" xfId="8" applyFont="1" applyBorder="1" applyAlignment="1">
      <alignment horizontal="center" vertical="center" wrapText="1"/>
    </xf>
    <xf numFmtId="0" fontId="8" fillId="0" borderId="0" xfId="0" applyFont="1" applyAlignment="1">
      <alignment horizontal="center" vertical="center" wrapText="1"/>
    </xf>
    <xf numFmtId="0" fontId="0" fillId="0" borderId="1" xfId="6" applyNumberFormat="1" applyFont="1" applyFill="1" applyBorder="1" applyAlignment="1">
      <alignment horizontal="center" vertical="center" wrapText="1"/>
    </xf>
    <xf numFmtId="0" fontId="0" fillId="0" borderId="0" xfId="3" applyFont="1" applyAlignment="1">
      <alignment horizontal="center" vertical="center"/>
    </xf>
    <xf numFmtId="0" fontId="7" fillId="0" borderId="0" xfId="0" applyFont="1" applyAlignment="1">
      <alignment horizontal="center" vertical="center" wrapText="1"/>
    </xf>
    <xf numFmtId="0" fontId="15" fillId="3" borderId="0" xfId="0" applyFont="1" applyFill="1" applyAlignment="1">
      <alignment horizontal="center"/>
    </xf>
    <xf numFmtId="164" fontId="0" fillId="0" borderId="1" xfId="7" applyFont="1" applyBorder="1" applyAlignment="1">
      <alignment horizontal="center" vertical="center" wrapText="1"/>
    </xf>
    <xf numFmtId="4" fontId="9" fillId="2" borderId="1" xfId="4" applyNumberFormat="1" applyFont="1" applyFill="1" applyBorder="1" applyAlignment="1">
      <alignment horizontal="center" vertical="center" wrapText="1"/>
    </xf>
    <xf numFmtId="0" fontId="13" fillId="0" borderId="1" xfId="0" applyFont="1" applyBorder="1" applyAlignment="1">
      <alignment horizontal="center" vertical="top" wrapText="1"/>
    </xf>
    <xf numFmtId="0" fontId="13" fillId="0" borderId="13" xfId="0" applyFont="1" applyBorder="1" applyAlignment="1">
      <alignment vertical="center" wrapText="1"/>
    </xf>
    <xf numFmtId="0" fontId="13" fillId="0" borderId="14" xfId="0" applyFont="1" applyBorder="1" applyAlignment="1">
      <alignment vertical="center" wrapText="1"/>
    </xf>
    <xf numFmtId="0" fontId="13" fillId="0" borderId="1" xfId="0" applyFont="1" applyBorder="1" applyAlignment="1">
      <alignment vertical="center" wrapText="1"/>
    </xf>
    <xf numFmtId="0" fontId="13" fillId="0" borderId="8" xfId="0" applyFont="1" applyBorder="1" applyAlignment="1">
      <alignment vertical="center" wrapText="1"/>
    </xf>
    <xf numFmtId="0" fontId="8" fillId="0" borderId="0" xfId="0" applyFont="1" applyAlignment="1">
      <alignment horizontal="center" wrapText="1"/>
    </xf>
    <xf numFmtId="0" fontId="8" fillId="0" borderId="0" xfId="0" applyFont="1" applyAlignment="1">
      <alignment wrapText="1"/>
    </xf>
    <xf numFmtId="0" fontId="8" fillId="0" borderId="0" xfId="0" applyFont="1" applyAlignment="1">
      <alignment horizontal="center"/>
    </xf>
    <xf numFmtId="0" fontId="8" fillId="0" borderId="0" xfId="3" applyFont="1" applyAlignment="1">
      <alignment horizontal="center" vertical="center"/>
    </xf>
    <xf numFmtId="0" fontId="8" fillId="0" borderId="0" xfId="0" applyFont="1" applyAlignment="1">
      <alignment horizontal="center" vertical="center"/>
    </xf>
    <xf numFmtId="0" fontId="0" fillId="0" borderId="1" xfId="4" applyFont="1" applyFill="1" applyBorder="1" applyAlignment="1">
      <alignment horizontal="center" vertical="center" wrapText="1"/>
    </xf>
    <xf numFmtId="0" fontId="0" fillId="0" borderId="1" xfId="4" applyNumberFormat="1" applyFont="1" applyFill="1" applyBorder="1" applyAlignment="1">
      <alignment horizontal="center" vertical="center" wrapText="1"/>
    </xf>
    <xf numFmtId="0" fontId="0" fillId="7" borderId="0" xfId="0" applyFill="1"/>
    <xf numFmtId="0" fontId="0" fillId="8" borderId="0" xfId="0" applyFill="1"/>
    <xf numFmtId="0" fontId="0" fillId="0" borderId="1" xfId="0" applyBorder="1"/>
    <xf numFmtId="164" fontId="0" fillId="0" borderId="1" xfId="7" applyFont="1" applyFill="1" applyBorder="1"/>
    <xf numFmtId="0" fontId="0" fillId="9" borderId="0" xfId="0" applyFill="1"/>
    <xf numFmtId="0" fontId="0" fillId="11" borderId="0" xfId="0" applyFill="1"/>
    <xf numFmtId="0" fontId="10" fillId="12" borderId="0" xfId="0" applyFont="1" applyFill="1"/>
    <xf numFmtId="0" fontId="0" fillId="8" borderId="1" xfId="0" applyFill="1" applyBorder="1"/>
    <xf numFmtId="164" fontId="10" fillId="10" borderId="20" xfId="7" applyFont="1" applyFill="1" applyBorder="1"/>
    <xf numFmtId="0" fontId="10" fillId="6" borderId="0" xfId="0" applyFont="1" applyFill="1" applyAlignment="1">
      <alignment vertical="center" wrapText="1"/>
    </xf>
    <xf numFmtId="164" fontId="10" fillId="10" borderId="0" xfId="7" applyFont="1" applyFill="1"/>
    <xf numFmtId="0" fontId="0" fillId="0" borderId="1" xfId="0" applyBorder="1" applyAlignment="1">
      <alignment vertical="center"/>
    </xf>
    <xf numFmtId="164" fontId="0" fillId="0" borderId="1" xfId="7" applyFont="1" applyFill="1" applyBorder="1" applyAlignment="1">
      <alignment vertical="center"/>
    </xf>
    <xf numFmtId="0" fontId="10" fillId="10" borderId="21" xfId="0" applyFont="1" applyFill="1" applyBorder="1" applyAlignment="1">
      <alignment horizontal="center" vertical="center"/>
    </xf>
    <xf numFmtId="0" fontId="8" fillId="0" borderId="0" xfId="3" applyFont="1" applyAlignment="1">
      <alignment vertical="center"/>
    </xf>
    <xf numFmtId="0" fontId="0" fillId="6" borderId="22" xfId="0" applyFill="1" applyBorder="1"/>
    <xf numFmtId="0" fontId="0" fillId="10" borderId="0" xfId="0" applyFill="1"/>
    <xf numFmtId="0" fontId="18" fillId="10" borderId="0" xfId="0" applyFont="1" applyFill="1" applyAlignment="1">
      <alignment horizontal="center" vertical="center"/>
    </xf>
    <xf numFmtId="0" fontId="9" fillId="7" borderId="23" xfId="0" applyFont="1" applyFill="1" applyBorder="1"/>
    <xf numFmtId="164" fontId="9" fillId="7" borderId="23" xfId="7" applyFont="1" applyFill="1" applyBorder="1"/>
    <xf numFmtId="164" fontId="9" fillId="7" borderId="23" xfId="7" applyFont="1" applyFill="1" applyBorder="1" applyAlignment="1">
      <alignment horizontal="center"/>
    </xf>
    <xf numFmtId="164" fontId="9" fillId="7" borderId="23" xfId="0" applyNumberFormat="1" applyFont="1" applyFill="1" applyBorder="1" applyAlignment="1">
      <alignment horizontal="center" vertical="center"/>
    </xf>
    <xf numFmtId="0" fontId="0" fillId="7" borderId="23" xfId="0" applyFill="1" applyBorder="1"/>
    <xf numFmtId="164" fontId="0" fillId="7" borderId="23" xfId="7" applyFont="1" applyFill="1" applyBorder="1"/>
    <xf numFmtId="9" fontId="0" fillId="7" borderId="23" xfId="9" applyFont="1" applyFill="1" applyBorder="1"/>
    <xf numFmtId="0" fontId="0" fillId="8" borderId="23" xfId="0" applyFill="1" applyBorder="1"/>
    <xf numFmtId="164" fontId="0" fillId="8" borderId="23" xfId="7" applyFont="1" applyFill="1" applyBorder="1"/>
    <xf numFmtId="0" fontId="9" fillId="8" borderId="0" xfId="0" applyFont="1" applyFill="1"/>
    <xf numFmtId="0" fontId="16" fillId="8" borderId="0" xfId="0" applyFont="1" applyFill="1"/>
    <xf numFmtId="0" fontId="9" fillId="7" borderId="0" xfId="0" applyFont="1" applyFill="1"/>
    <xf numFmtId="0" fontId="9" fillId="9" borderId="0" xfId="0" applyFont="1" applyFill="1"/>
    <xf numFmtId="0" fontId="19" fillId="10" borderId="0" xfId="0" applyFont="1" applyFill="1" applyAlignment="1">
      <alignment horizontal="center"/>
    </xf>
    <xf numFmtId="0" fontId="10" fillId="6" borderId="0" xfId="0" applyFont="1" applyFill="1" applyAlignment="1">
      <alignment horizontal="center" wrapText="1"/>
    </xf>
    <xf numFmtId="0" fontId="0" fillId="0" borderId="0" xfId="0" applyAlignment="1">
      <alignment horizontal="left"/>
    </xf>
    <xf numFmtId="164" fontId="0" fillId="0" borderId="0" xfId="0" applyNumberFormat="1"/>
    <xf numFmtId="164" fontId="0" fillId="0" borderId="1" xfId="0" applyNumberFormat="1" applyBorder="1"/>
    <xf numFmtId="9" fontId="0" fillId="0" borderId="1" xfId="9" applyFont="1" applyBorder="1"/>
    <xf numFmtId="164" fontId="0" fillId="0" borderId="1" xfId="7" applyFont="1" applyBorder="1"/>
    <xf numFmtId="164" fontId="0" fillId="0" borderId="2" xfId="0" applyNumberFormat="1" applyBorder="1"/>
    <xf numFmtId="0" fontId="0" fillId="0" borderId="21" xfId="0" applyBorder="1"/>
    <xf numFmtId="0" fontId="0" fillId="0" borderId="0" xfId="0" applyAlignment="1">
      <alignment horizontal="right"/>
    </xf>
    <xf numFmtId="164" fontId="9" fillId="13" borderId="1" xfId="7" applyFont="1" applyFill="1" applyBorder="1"/>
    <xf numFmtId="0" fontId="0" fillId="0" borderId="0" xfId="0" pivotButton="1"/>
    <xf numFmtId="4" fontId="0" fillId="0" borderId="0" xfId="0" applyNumberFormat="1"/>
    <xf numFmtId="164" fontId="0" fillId="0" borderId="0" xfId="7" applyFont="1"/>
    <xf numFmtId="0" fontId="0" fillId="0" borderId="1" xfId="0" applyBorder="1" applyAlignment="1">
      <alignment horizontal="left"/>
    </xf>
    <xf numFmtId="0" fontId="0" fillId="15" borderId="1" xfId="0" applyFill="1" applyBorder="1" applyAlignment="1">
      <alignment horizontal="center" wrapText="1"/>
    </xf>
    <xf numFmtId="0" fontId="0" fillId="15" borderId="1" xfId="0" applyFill="1" applyBorder="1" applyAlignment="1">
      <alignment horizontal="center" vertical="center" wrapText="1"/>
    </xf>
    <xf numFmtId="164" fontId="0" fillId="7" borderId="0" xfId="7" applyFont="1" applyFill="1"/>
    <xf numFmtId="10" fontId="0" fillId="0" borderId="1" xfId="9" applyNumberFormat="1" applyFont="1" applyFill="1" applyBorder="1"/>
    <xf numFmtId="10" fontId="0" fillId="9" borderId="0" xfId="0" applyNumberFormat="1" applyFill="1"/>
    <xf numFmtId="10" fontId="0" fillId="7" borderId="0" xfId="0" applyNumberFormat="1" applyFill="1"/>
    <xf numFmtId="10" fontId="0" fillId="8" borderId="0" xfId="0" applyNumberFormat="1" applyFill="1"/>
    <xf numFmtId="0" fontId="0" fillId="0" borderId="26" xfId="0" applyBorder="1"/>
    <xf numFmtId="0" fontId="0" fillId="0" borderId="3" xfId="0" applyBorder="1"/>
    <xf numFmtId="0" fontId="0" fillId="0" borderId="3" xfId="0" applyBorder="1" applyAlignment="1">
      <alignment wrapText="1"/>
    </xf>
    <xf numFmtId="0" fontId="0" fillId="11" borderId="21" xfId="0" applyFill="1" applyBorder="1"/>
    <xf numFmtId="0" fontId="0" fillId="11" borderId="6" xfId="0" applyFill="1" applyBorder="1"/>
    <xf numFmtId="167" fontId="0" fillId="0" borderId="1" xfId="0" applyNumberFormat="1" applyBorder="1"/>
    <xf numFmtId="168" fontId="0" fillId="0" borderId="1" xfId="0" applyNumberFormat="1" applyBorder="1"/>
    <xf numFmtId="0" fontId="10" fillId="10" borderId="0" xfId="0" applyFont="1" applyFill="1"/>
    <xf numFmtId="164" fontId="0" fillId="8" borderId="0" xfId="7" applyFont="1" applyFill="1"/>
    <xf numFmtId="0" fontId="10" fillId="6" borderId="0" xfId="0" applyFont="1" applyFill="1"/>
    <xf numFmtId="164" fontId="10" fillId="6" borderId="0" xfId="0" applyNumberFormat="1" applyFont="1" applyFill="1"/>
    <xf numFmtId="0" fontId="10" fillId="6" borderId="0" xfId="0" applyFont="1" applyFill="1" applyAlignment="1">
      <alignment horizontal="left"/>
    </xf>
    <xf numFmtId="0" fontId="21" fillId="6" borderId="0" xfId="0" applyFont="1" applyFill="1"/>
    <xf numFmtId="164" fontId="0" fillId="9" borderId="0" xfId="7" applyFont="1" applyFill="1"/>
    <xf numFmtId="9" fontId="9" fillId="7" borderId="23" xfId="9" applyFont="1" applyFill="1" applyBorder="1" applyAlignment="1">
      <alignment horizontal="center"/>
    </xf>
    <xf numFmtId="9" fontId="0" fillId="8" borderId="23" xfId="9" applyFont="1" applyFill="1" applyBorder="1" applyAlignment="1">
      <alignment horizontal="center"/>
    </xf>
    <xf numFmtId="0" fontId="0" fillId="4" borderId="0" xfId="0" applyFill="1"/>
    <xf numFmtId="0" fontId="8" fillId="0" borderId="0" xfId="8" quotePrefix="1" applyFont="1" applyAlignment="1">
      <alignment horizontal="center" vertical="center" wrapText="1"/>
    </xf>
    <xf numFmtId="0" fontId="8" fillId="0" borderId="0" xfId="0" applyFont="1" applyAlignment="1">
      <alignment horizontal="center" vertical="top" wrapText="1"/>
    </xf>
    <xf numFmtId="9" fontId="9" fillId="7" borderId="23" xfId="9" applyFont="1" applyFill="1" applyBorder="1" applyAlignment="1">
      <alignment horizontal="center" wrapText="1"/>
    </xf>
    <xf numFmtId="0" fontId="0" fillId="0" borderId="4" xfId="0" applyBorder="1"/>
    <xf numFmtId="0" fontId="0" fillId="0" borderId="5" xfId="0" applyBorder="1" applyAlignment="1">
      <alignment horizontal="center"/>
    </xf>
    <xf numFmtId="0" fontId="0" fillId="0" borderId="6" xfId="0" applyBorder="1" applyAlignment="1">
      <alignment horizontal="center"/>
    </xf>
    <xf numFmtId="0" fontId="0" fillId="0" borderId="27" xfId="0" applyBorder="1" applyAlignment="1">
      <alignment horizontal="center"/>
    </xf>
    <xf numFmtId="0" fontId="9" fillId="7" borderId="25" xfId="0" applyFont="1" applyFill="1" applyBorder="1" applyAlignment="1">
      <alignment horizontal="center"/>
    </xf>
    <xf numFmtId="164" fontId="9" fillId="7" borderId="24" xfId="0" applyNumberFormat="1" applyFont="1" applyFill="1" applyBorder="1" applyAlignment="1">
      <alignment horizontal="center"/>
    </xf>
    <xf numFmtId="0" fontId="9" fillId="7" borderId="28" xfId="0" applyFont="1" applyFill="1" applyBorder="1" applyAlignment="1">
      <alignment horizontal="center"/>
    </xf>
    <xf numFmtId="0" fontId="9" fillId="7" borderId="29" xfId="0" applyFont="1" applyFill="1" applyBorder="1" applyAlignment="1">
      <alignment horizontal="center"/>
    </xf>
    <xf numFmtId="0" fontId="9" fillId="7" borderId="30" xfId="0" applyFont="1" applyFill="1" applyBorder="1" applyAlignment="1">
      <alignment horizontal="center"/>
    </xf>
    <xf numFmtId="0" fontId="9" fillId="7" borderId="31" xfId="0" applyFont="1" applyFill="1" applyBorder="1" applyAlignment="1">
      <alignment horizontal="center"/>
    </xf>
    <xf numFmtId="164" fontId="9" fillId="7" borderId="32" xfId="7" applyFont="1" applyFill="1" applyBorder="1" applyAlignment="1">
      <alignment horizontal="center"/>
    </xf>
    <xf numFmtId="164" fontId="9" fillId="7" borderId="32" xfId="0" applyNumberFormat="1" applyFont="1" applyFill="1" applyBorder="1" applyAlignment="1">
      <alignment horizontal="center" vertical="center"/>
    </xf>
    <xf numFmtId="164" fontId="9" fillId="7" borderId="33" xfId="0" applyNumberFormat="1" applyFont="1" applyFill="1" applyBorder="1" applyAlignment="1">
      <alignment horizontal="center"/>
    </xf>
    <xf numFmtId="0" fontId="0" fillId="0" borderId="7" xfId="0" applyBorder="1"/>
    <xf numFmtId="164" fontId="0" fillId="0" borderId="8" xfId="0" applyNumberFormat="1" applyBorder="1"/>
    <xf numFmtId="164" fontId="0" fillId="0" borderId="19" xfId="0" applyNumberFormat="1" applyBorder="1"/>
    <xf numFmtId="9" fontId="0" fillId="0" borderId="8" xfId="9" applyFont="1" applyBorder="1"/>
    <xf numFmtId="164" fontId="0" fillId="0" borderId="8" xfId="7" applyFont="1" applyBorder="1"/>
    <xf numFmtId="2" fontId="0" fillId="0" borderId="0" xfId="7" applyNumberFormat="1" applyFont="1"/>
    <xf numFmtId="2" fontId="0" fillId="0" borderId="0" xfId="7" applyNumberFormat="1" applyFont="1" applyAlignment="1">
      <alignment horizontal="center" wrapText="1"/>
    </xf>
    <xf numFmtId="166" fontId="8" fillId="0" borderId="1" xfId="4" applyNumberFormat="1" applyFont="1" applyFill="1" applyBorder="1" applyAlignment="1">
      <alignment horizontal="center" wrapText="1"/>
    </xf>
    <xf numFmtId="166" fontId="0" fillId="0" borderId="1" xfId="0" applyNumberFormat="1" applyBorder="1" applyAlignment="1">
      <alignment horizontal="center" vertical="center" wrapText="1"/>
    </xf>
    <xf numFmtId="0" fontId="0" fillId="0" borderId="8" xfId="4" applyFont="1" applyFill="1" applyBorder="1" applyAlignment="1">
      <alignment horizontal="center" vertical="center" wrapText="1"/>
    </xf>
    <xf numFmtId="0" fontId="0" fillId="0" borderId="8" xfId="6" applyNumberFormat="1" applyFont="1" applyFill="1" applyBorder="1" applyAlignment="1">
      <alignment horizontal="center" vertical="center" wrapText="1"/>
    </xf>
    <xf numFmtId="166" fontId="8" fillId="0" borderId="8" xfId="0" applyNumberFormat="1" applyFont="1" applyBorder="1" applyAlignment="1">
      <alignment horizontal="center" vertical="center" wrapText="1"/>
    </xf>
    <xf numFmtId="166" fontId="8" fillId="0" borderId="1" xfId="0" applyNumberFormat="1" applyFont="1" applyBorder="1" applyAlignment="1">
      <alignment horizontal="center" vertical="center" wrapText="1"/>
    </xf>
    <xf numFmtId="0" fontId="22" fillId="0" borderId="0" xfId="1" applyFont="1" applyAlignment="1">
      <alignment horizontal="center" vertical="center"/>
    </xf>
    <xf numFmtId="0" fontId="22" fillId="0" borderId="0" xfId="1" applyFont="1" applyAlignment="1">
      <alignment horizontal="center" vertical="center" wrapText="1"/>
    </xf>
    <xf numFmtId="0" fontId="23" fillId="0" borderId="0" xfId="1" applyFont="1" applyAlignment="1">
      <alignment horizontal="center" vertical="center"/>
    </xf>
    <xf numFmtId="0" fontId="23" fillId="0" borderId="0" xfId="1" applyFont="1" applyAlignment="1">
      <alignment horizontal="center" vertical="center" wrapText="1"/>
    </xf>
    <xf numFmtId="0" fontId="0" fillId="0" borderId="3" xfId="4" applyFont="1" applyBorder="1" applyAlignment="1">
      <alignment horizontal="center" vertical="center" wrapText="1"/>
    </xf>
    <xf numFmtId="0" fontId="0" fillId="0" borderId="3" xfId="4" applyNumberFormat="1" applyFont="1" applyBorder="1" applyAlignment="1">
      <alignment horizontal="center" vertical="center" wrapText="1"/>
    </xf>
    <xf numFmtId="0" fontId="0" fillId="2" borderId="6" xfId="4" applyFont="1" applyFill="1" applyBorder="1" applyAlignment="1">
      <alignment horizontal="center" vertical="center" wrapText="1"/>
    </xf>
    <xf numFmtId="0" fontId="0" fillId="2" borderId="6" xfId="4" applyNumberFormat="1" applyFont="1" applyFill="1" applyBorder="1" applyAlignment="1">
      <alignment horizontal="center" vertical="center" wrapText="1"/>
    </xf>
    <xf numFmtId="14" fontId="0" fillId="0" borderId="1" xfId="7" applyNumberFormat="1" applyFont="1" applyFill="1" applyBorder="1" applyAlignment="1">
      <alignment horizontal="center" vertical="center" wrapText="1"/>
    </xf>
    <xf numFmtId="15" fontId="0" fillId="0" borderId="1" xfId="4" applyNumberFormat="1" applyFont="1" applyFill="1" applyBorder="1" applyAlignment="1">
      <alignment horizontal="center" vertical="center" wrapText="1"/>
    </xf>
    <xf numFmtId="15" fontId="0" fillId="0" borderId="8" xfId="4" applyNumberFormat="1" applyFont="1" applyFill="1" applyBorder="1" applyAlignment="1">
      <alignment horizontal="center" vertical="center" wrapText="1"/>
    </xf>
    <xf numFmtId="14" fontId="0" fillId="0" borderId="1" xfId="4" applyNumberFormat="1" applyFont="1" applyFill="1"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2" borderId="5" xfId="4" applyFont="1" applyFill="1" applyBorder="1" applyAlignment="1">
      <alignment horizontal="center" vertical="center" wrapText="1"/>
    </xf>
    <xf numFmtId="0" fontId="8" fillId="0" borderId="8" xfId="4" applyFont="1" applyFill="1" applyBorder="1" applyAlignment="1">
      <alignment horizontal="center" vertical="center" wrapText="1"/>
    </xf>
    <xf numFmtId="0" fontId="0" fillId="0" borderId="8" xfId="4" applyNumberFormat="1" applyFont="1" applyFill="1" applyBorder="1" applyAlignment="1">
      <alignment horizontal="center" vertical="center" wrapText="1"/>
    </xf>
    <xf numFmtId="0" fontId="0" fillId="0" borderId="1" xfId="4" applyFont="1" applyFill="1" applyBorder="1" applyAlignment="1">
      <alignment wrapText="1"/>
    </xf>
    <xf numFmtId="166" fontId="8" fillId="18" borderId="4" xfId="4" applyNumberFormat="1" applyFont="1" applyFill="1" applyBorder="1" applyAlignment="1">
      <alignment horizontal="center" vertical="center" wrapText="1"/>
    </xf>
    <xf numFmtId="169" fontId="0" fillId="0" borderId="1" xfId="4" applyNumberFormat="1" applyFont="1" applyFill="1" applyBorder="1" applyAlignment="1">
      <alignment horizontal="center" vertical="center" wrapText="1"/>
    </xf>
    <xf numFmtId="0" fontId="22" fillId="0" borderId="0" xfId="1" applyFont="1" applyAlignment="1">
      <alignment vertical="center"/>
    </xf>
    <xf numFmtId="0" fontId="22" fillId="0" borderId="0" xfId="1" applyFont="1" applyAlignment="1">
      <alignment horizontal="center"/>
    </xf>
    <xf numFmtId="0" fontId="22" fillId="0" borderId="0" xfId="1" applyFont="1" applyAlignment="1">
      <alignment vertical="center" wrapText="1"/>
    </xf>
    <xf numFmtId="0" fontId="23" fillId="0" borderId="0" xfId="1" applyFont="1" applyAlignment="1">
      <alignment vertical="center"/>
    </xf>
    <xf numFmtId="0" fontId="26" fillId="0" borderId="0" xfId="1" applyFont="1" applyAlignment="1">
      <alignment horizontal="center" vertical="center"/>
    </xf>
    <xf numFmtId="0" fontId="23" fillId="0" borderId="0" xfId="1" applyFont="1" applyAlignment="1">
      <alignment horizontal="center"/>
    </xf>
    <xf numFmtId="0" fontId="23" fillId="0" borderId="0" xfId="1" applyFont="1" applyAlignment="1">
      <alignment vertical="center" wrapText="1"/>
    </xf>
    <xf numFmtId="0" fontId="0" fillId="0" borderId="2" xfId="4" applyFont="1" applyBorder="1" applyAlignment="1">
      <alignment vertical="center" wrapText="1"/>
    </xf>
    <xf numFmtId="0" fontId="0" fillId="0" borderId="3" xfId="4" applyFont="1" applyBorder="1" applyAlignment="1">
      <alignment vertical="center" wrapText="1"/>
    </xf>
    <xf numFmtId="2" fontId="0" fillId="0" borderId="3" xfId="7" applyNumberFormat="1" applyFont="1" applyBorder="1" applyAlignment="1">
      <alignment horizontal="center" vertical="center" wrapText="1"/>
    </xf>
    <xf numFmtId="2" fontId="0" fillId="2" borderId="6" xfId="7" applyNumberFormat="1" applyFont="1" applyFill="1" applyBorder="1" applyAlignment="1">
      <alignment horizontal="center" vertical="center" wrapText="1"/>
    </xf>
    <xf numFmtId="1" fontId="0" fillId="0" borderId="1" xfId="4" applyNumberFormat="1" applyFont="1" applyFill="1" applyBorder="1" applyAlignment="1">
      <alignment horizontal="center" vertical="center" wrapText="1"/>
    </xf>
    <xf numFmtId="49" fontId="0" fillId="0" borderId="1" xfId="7" applyNumberFormat="1" applyFont="1" applyFill="1" applyBorder="1" applyAlignment="1">
      <alignment horizontal="center" vertical="center" wrapText="1"/>
    </xf>
    <xf numFmtId="2" fontId="0" fillId="0" borderId="1" xfId="7" applyNumberFormat="1" applyFont="1" applyFill="1" applyBorder="1" applyAlignment="1">
      <alignment horizontal="center" vertical="center" wrapText="1"/>
    </xf>
    <xf numFmtId="1" fontId="0" fillId="0" borderId="8" xfId="4" applyNumberFormat="1" applyFont="1" applyFill="1" applyBorder="1" applyAlignment="1">
      <alignment horizontal="center" wrapText="1"/>
    </xf>
    <xf numFmtId="12" fontId="0" fillId="0" borderId="8" xfId="7" applyNumberFormat="1" applyFont="1" applyFill="1" applyBorder="1" applyAlignment="1">
      <alignment horizontal="center" wrapText="1"/>
    </xf>
    <xf numFmtId="2" fontId="0" fillId="0" borderId="8" xfId="7" applyNumberFormat="1" applyFont="1" applyFill="1" applyBorder="1" applyAlignment="1">
      <alignment horizontal="center" wrapText="1"/>
    </xf>
    <xf numFmtId="1" fontId="0" fillId="17" borderId="8" xfId="4" quotePrefix="1" applyNumberFormat="1" applyFont="1" applyFill="1" applyBorder="1" applyAlignment="1">
      <alignment horizontal="center" wrapText="1"/>
    </xf>
    <xf numFmtId="12" fontId="0" fillId="17" borderId="8" xfId="7" quotePrefix="1" applyNumberFormat="1" applyFont="1" applyFill="1" applyBorder="1" applyAlignment="1">
      <alignment horizontal="center" wrapText="1"/>
    </xf>
    <xf numFmtId="1" fontId="0" fillId="0" borderId="8" xfId="4" quotePrefix="1" applyNumberFormat="1" applyFont="1" applyFill="1" applyBorder="1" applyAlignment="1">
      <alignment horizontal="center" wrapText="1"/>
    </xf>
    <xf numFmtId="12" fontId="0" fillId="0" borderId="8" xfId="7" quotePrefix="1" applyNumberFormat="1" applyFont="1" applyFill="1" applyBorder="1" applyAlignment="1">
      <alignment horizontal="center" wrapText="1"/>
    </xf>
    <xf numFmtId="1" fontId="0" fillId="4" borderId="8" xfId="4" applyNumberFormat="1" applyFont="1" applyFill="1" applyBorder="1" applyAlignment="1">
      <alignment horizontal="center" wrapText="1"/>
    </xf>
    <xf numFmtId="12" fontId="0" fillId="4" borderId="8" xfId="7" applyNumberFormat="1" applyFont="1" applyFill="1" applyBorder="1" applyAlignment="1">
      <alignment horizontal="center" wrapText="1"/>
    </xf>
    <xf numFmtId="12" fontId="0" fillId="0" borderId="1" xfId="7" applyNumberFormat="1" applyFont="1" applyFill="1" applyBorder="1" applyAlignment="1">
      <alignment horizontal="center" vertical="center" wrapText="1"/>
    </xf>
    <xf numFmtId="49" fontId="0" fillId="0" borderId="1" xfId="4" applyNumberFormat="1" applyFont="1" applyFill="1" applyBorder="1" applyAlignment="1">
      <alignment horizontal="center" vertical="center" wrapText="1"/>
    </xf>
    <xf numFmtId="2" fontId="0" fillId="0" borderId="1" xfId="4" applyNumberFormat="1" applyFont="1" applyFill="1" applyBorder="1" applyAlignment="1">
      <alignment horizontal="center" vertical="center" wrapText="1"/>
    </xf>
    <xf numFmtId="49" fontId="0" fillId="0" borderId="8" xfId="7" applyNumberFormat="1" applyFont="1" applyFill="1" applyBorder="1" applyAlignment="1">
      <alignment horizontal="center" wrapText="1"/>
    </xf>
    <xf numFmtId="0" fontId="23" fillId="0" borderId="0" xfId="1" applyFont="1" applyAlignment="1">
      <alignment horizontal="left" vertical="center"/>
    </xf>
    <xf numFmtId="0" fontId="9" fillId="3" borderId="10" xfId="4"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2" borderId="6" xfId="0"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166" fontId="0" fillId="0" borderId="0" xfId="0" applyNumberFormat="1" applyAlignment="1">
      <alignment horizontal="center" vertical="center" wrapText="1"/>
    </xf>
    <xf numFmtId="166" fontId="0" fillId="0" borderId="0" xfId="0" applyNumberFormat="1" applyAlignment="1">
      <alignment horizontal="center" wrapText="1"/>
    </xf>
    <xf numFmtId="4" fontId="0" fillId="0" borderId="0" xfId="0" applyNumberFormat="1" applyAlignment="1">
      <alignment horizontal="center" vertical="center"/>
    </xf>
    <xf numFmtId="0" fontId="0" fillId="16" borderId="1" xfId="0" applyFill="1" applyBorder="1" applyAlignment="1">
      <alignment horizontal="center" vertical="center" wrapText="1"/>
    </xf>
    <xf numFmtId="4" fontId="0" fillId="0" borderId="8" xfId="0" applyNumberFormat="1" applyBorder="1" applyAlignment="1">
      <alignment horizontal="center" vertical="center" wrapText="1"/>
    </xf>
    <xf numFmtId="14" fontId="0" fillId="0" borderId="8" xfId="0" applyNumberFormat="1" applyBorder="1" applyAlignment="1">
      <alignment horizontal="center" vertical="center" wrapText="1"/>
    </xf>
    <xf numFmtId="4" fontId="0" fillId="0" borderId="1" xfId="0" applyNumberFormat="1" applyBorder="1" applyAlignment="1">
      <alignment horizontal="center" vertical="center" wrapText="1"/>
    </xf>
    <xf numFmtId="0" fontId="8" fillId="4" borderId="0" xfId="0" applyFont="1" applyFill="1" applyAlignment="1">
      <alignment wrapText="1"/>
    </xf>
    <xf numFmtId="0" fontId="8" fillId="4" borderId="0" xfId="0" applyFont="1" applyFill="1" applyAlignment="1">
      <alignment horizontal="center" vertical="center" wrapText="1"/>
    </xf>
    <xf numFmtId="0" fontId="22" fillId="4" borderId="0" xfId="1" applyFont="1" applyFill="1" applyAlignment="1">
      <alignment horizontal="center" vertical="center"/>
    </xf>
    <xf numFmtId="0" fontId="22" fillId="4" borderId="0" xfId="1" applyFont="1" applyFill="1" applyAlignment="1">
      <alignment horizontal="center" vertical="center" wrapText="1"/>
    </xf>
    <xf numFmtId="0" fontId="8" fillId="4" borderId="0" xfId="3" applyFont="1" applyFill="1" applyAlignment="1">
      <alignment horizontal="center" vertical="center"/>
    </xf>
    <xf numFmtId="0" fontId="8" fillId="4" borderId="0" xfId="0" applyFont="1" applyFill="1" applyAlignment="1">
      <alignment horizontal="center" vertical="center"/>
    </xf>
    <xf numFmtId="0" fontId="0" fillId="0" borderId="2" xfId="4" applyFont="1" applyBorder="1" applyAlignment="1">
      <alignment horizontal="center" vertical="center" wrapText="1"/>
    </xf>
    <xf numFmtId="0" fontId="8" fillId="0" borderId="3" xfId="4" applyFont="1" applyBorder="1" applyAlignment="1">
      <alignment horizontal="center" vertical="center" wrapText="1"/>
    </xf>
    <xf numFmtId="0" fontId="8" fillId="2" borderId="6" xfId="4" applyFont="1" applyFill="1" applyBorder="1" applyAlignment="1">
      <alignment horizontal="center" vertical="center" wrapText="1"/>
    </xf>
    <xf numFmtId="0" fontId="27" fillId="0" borderId="1" xfId="8" applyFont="1" applyBorder="1" applyAlignment="1">
      <alignment horizontal="center" vertical="center" wrapText="1"/>
    </xf>
    <xf numFmtId="0" fontId="27" fillId="0" borderId="1" xfId="8" applyFont="1" applyBorder="1" applyAlignment="1">
      <alignment horizontal="left" vertical="center" wrapText="1"/>
    </xf>
    <xf numFmtId="0" fontId="27" fillId="0" borderId="8" xfId="8" applyFont="1" applyBorder="1" applyAlignment="1">
      <alignment horizontal="center" vertical="center" wrapText="1"/>
    </xf>
    <xf numFmtId="0" fontId="27" fillId="0" borderId="8" xfId="8" applyFont="1" applyBorder="1" applyAlignment="1">
      <alignment horizontal="left" vertical="center" wrapText="1"/>
    </xf>
    <xf numFmtId="0" fontId="8" fillId="0" borderId="1" xfId="0" applyFont="1" applyBorder="1" applyAlignment="1">
      <alignment horizontal="center"/>
    </xf>
    <xf numFmtId="0" fontId="0" fillId="0" borderId="1" xfId="0" applyBorder="1" applyAlignment="1">
      <alignment wrapText="1"/>
    </xf>
    <xf numFmtId="166" fontId="27" fillId="0" borderId="1" xfId="0" applyNumberFormat="1" applyFont="1" applyBorder="1" applyAlignment="1">
      <alignment horizontal="center" vertical="center" wrapText="1"/>
    </xf>
    <xf numFmtId="0" fontId="0" fillId="0" borderId="0" xfId="0" applyAlignment="1">
      <alignment horizontal="right" wrapText="1"/>
    </xf>
    <xf numFmtId="164" fontId="0" fillId="0" borderId="8" xfId="0" applyNumberFormat="1" applyBorder="1" applyAlignment="1">
      <alignment horizontal="center" vertical="center" wrapText="1"/>
    </xf>
    <xf numFmtId="166" fontId="0" fillId="0" borderId="8" xfId="0" applyNumberFormat="1" applyBorder="1" applyAlignment="1">
      <alignment horizontal="center" vertical="center" wrapText="1"/>
    </xf>
    <xf numFmtId="166" fontId="0" fillId="0" borderId="7" xfId="0" applyNumberFormat="1" applyBorder="1" applyAlignment="1">
      <alignment horizontal="center" vertical="center" wrapText="1"/>
    </xf>
    <xf numFmtId="164" fontId="0" fillId="0" borderId="1" xfId="0" applyNumberForma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applyAlignment="1">
      <alignment horizontal="center" vertical="center" wrapText="1"/>
    </xf>
    <xf numFmtId="15" fontId="29" fillId="0" borderId="1" xfId="4" applyNumberFormat="1" applyFont="1" applyFill="1" applyBorder="1" applyAlignment="1">
      <alignment horizontal="center" vertical="center" wrapText="1"/>
    </xf>
    <xf numFmtId="165" fontId="29" fillId="0" borderId="1" xfId="6" applyFont="1" applyFill="1" applyBorder="1" applyAlignment="1">
      <alignment horizontal="center" vertical="center"/>
    </xf>
    <xf numFmtId="0" fontId="29" fillId="0" borderId="1" xfId="4" applyFont="1" applyFill="1" applyBorder="1" applyAlignment="1">
      <alignment horizontal="center" vertical="center" wrapText="1"/>
    </xf>
    <xf numFmtId="0" fontId="28" fillId="0" borderId="2" xfId="0" applyFont="1" applyBorder="1" applyAlignment="1">
      <alignment horizontal="center" vertical="top" wrapText="1"/>
    </xf>
    <xf numFmtId="0" fontId="29" fillId="0" borderId="1" xfId="6" applyNumberFormat="1" applyFont="1" applyFill="1" applyBorder="1" applyAlignment="1">
      <alignment horizontal="center" vertical="center" wrapText="1"/>
    </xf>
    <xf numFmtId="165" fontId="29" fillId="0" borderId="1" xfId="6" applyFont="1" applyFill="1" applyBorder="1" applyAlignment="1">
      <alignment horizontal="center" vertical="center" wrapText="1"/>
    </xf>
    <xf numFmtId="0" fontId="29" fillId="0" borderId="1" xfId="4" applyNumberFormat="1" applyFont="1" applyFill="1" applyBorder="1" applyAlignment="1">
      <alignment horizontal="center" vertical="center" wrapText="1"/>
    </xf>
    <xf numFmtId="164" fontId="29" fillId="0" borderId="1" xfId="7" applyFont="1" applyFill="1" applyBorder="1" applyAlignment="1">
      <alignment horizontal="center" vertical="center" wrapText="1"/>
    </xf>
    <xf numFmtId="166" fontId="30" fillId="0" borderId="1" xfId="0" applyNumberFormat="1" applyFont="1" applyBorder="1" applyAlignment="1">
      <alignment horizontal="center" vertical="center" wrapText="1"/>
    </xf>
    <xf numFmtId="0" fontId="29" fillId="0" borderId="1" xfId="0" applyFont="1" applyBorder="1" applyAlignment="1">
      <alignment horizontal="center"/>
    </xf>
    <xf numFmtId="0" fontId="29" fillId="0" borderId="8" xfId="4" applyFont="1" applyFill="1" applyBorder="1" applyAlignment="1">
      <alignment horizontal="center" vertical="center" wrapText="1"/>
    </xf>
    <xf numFmtId="15" fontId="29" fillId="0" borderId="8" xfId="4" applyNumberFormat="1" applyFont="1" applyFill="1" applyBorder="1" applyAlignment="1">
      <alignment horizontal="center" vertical="center" wrapText="1"/>
    </xf>
    <xf numFmtId="0" fontId="31" fillId="0" borderId="1" xfId="4" applyFont="1" applyFill="1" applyBorder="1" applyAlignment="1">
      <alignment horizontal="center" vertical="center" wrapText="1"/>
    </xf>
    <xf numFmtId="0" fontId="32" fillId="0" borderId="0" xfId="0" applyFont="1" applyAlignment="1">
      <alignment horizontal="center" vertical="center" wrapText="1"/>
    </xf>
    <xf numFmtId="0" fontId="33" fillId="0" borderId="0" xfId="1" applyFont="1" applyAlignment="1">
      <alignment horizontal="center" vertical="center"/>
    </xf>
    <xf numFmtId="0" fontId="33" fillId="0" borderId="0" xfId="1" applyNumberFormat="1" applyFont="1" applyAlignment="1">
      <alignment horizontal="center" vertical="center" wrapText="1"/>
    </xf>
    <xf numFmtId="0" fontId="33" fillId="0" borderId="0" xfId="1" applyFont="1" applyAlignment="1">
      <alignment horizontal="center" vertical="center" wrapText="1"/>
    </xf>
    <xf numFmtId="0" fontId="32" fillId="0" borderId="0" xfId="3" applyFont="1" applyAlignment="1">
      <alignment horizontal="center" vertical="center"/>
    </xf>
    <xf numFmtId="15" fontId="32" fillId="0" borderId="0" xfId="3" applyNumberFormat="1" applyFont="1" applyAlignment="1">
      <alignment horizontal="center" vertical="center"/>
    </xf>
    <xf numFmtId="0" fontId="32" fillId="0" borderId="0" xfId="0" applyFont="1" applyAlignment="1">
      <alignment horizontal="center" vertical="center"/>
    </xf>
    <xf numFmtId="0" fontId="34" fillId="0" borderId="0" xfId="0" applyFont="1" applyAlignment="1">
      <alignment horizontal="center" vertical="center" wrapText="1"/>
    </xf>
    <xf numFmtId="0" fontId="35" fillId="0" borderId="0" xfId="1" applyFont="1" applyAlignment="1">
      <alignment horizontal="center" vertical="center"/>
    </xf>
    <xf numFmtId="0" fontId="35" fillId="0" borderId="0" xfId="1" applyNumberFormat="1" applyFont="1" applyAlignment="1">
      <alignment horizontal="center" vertical="center" wrapText="1"/>
    </xf>
    <xf numFmtId="0" fontId="35" fillId="0" borderId="0" xfId="1" applyFont="1" applyAlignment="1">
      <alignment horizontal="center" vertical="center" wrapText="1"/>
    </xf>
    <xf numFmtId="0" fontId="34" fillId="0" borderId="0" xfId="3" applyFont="1" applyAlignment="1">
      <alignment horizontal="center" vertical="center"/>
    </xf>
    <xf numFmtId="15" fontId="34" fillId="0" borderId="0" xfId="3" applyNumberFormat="1" applyFont="1" applyAlignment="1">
      <alignment horizontal="center" vertical="center"/>
    </xf>
    <xf numFmtId="0" fontId="34" fillId="0" borderId="0" xfId="0" applyFont="1" applyAlignment="1">
      <alignment horizontal="center" vertical="center"/>
    </xf>
    <xf numFmtId="0" fontId="32" fillId="0" borderId="2" xfId="4" applyFont="1" applyBorder="1" applyAlignment="1">
      <alignment horizontal="center" vertical="center" wrapText="1"/>
    </xf>
    <xf numFmtId="0" fontId="34" fillId="0" borderId="3" xfId="4" applyFont="1" applyBorder="1" applyAlignment="1">
      <alignment horizontal="center" vertical="center" wrapText="1"/>
    </xf>
    <xf numFmtId="0" fontId="34" fillId="0" borderId="3" xfId="4" applyNumberFormat="1" applyFont="1" applyBorder="1" applyAlignment="1">
      <alignment horizontal="center" vertical="center" wrapText="1"/>
    </xf>
    <xf numFmtId="0" fontId="38" fillId="3" borderId="12" xfId="4" applyFont="1" applyFill="1" applyBorder="1" applyAlignment="1">
      <alignment horizontal="center" vertical="center" wrapText="1"/>
    </xf>
    <xf numFmtId="0" fontId="34" fillId="0" borderId="1" xfId="0" applyFont="1" applyBorder="1" applyAlignment="1">
      <alignment horizontal="center" vertical="center" wrapText="1"/>
    </xf>
    <xf numFmtId="15" fontId="34" fillId="0" borderId="1" xfId="4" applyNumberFormat="1" applyFont="1" applyFill="1" applyBorder="1" applyAlignment="1">
      <alignment horizontal="center" vertical="center" wrapText="1"/>
    </xf>
    <xf numFmtId="165" fontId="34" fillId="0" borderId="1" xfId="6" applyFont="1" applyFill="1" applyBorder="1" applyAlignment="1">
      <alignment horizontal="center" vertical="center"/>
    </xf>
    <xf numFmtId="0" fontId="34" fillId="0" borderId="1" xfId="4" applyFont="1" applyFill="1" applyBorder="1" applyAlignment="1">
      <alignment horizontal="center" vertical="center" wrapText="1"/>
    </xf>
    <xf numFmtId="0" fontId="34" fillId="0" borderId="1" xfId="0" applyFont="1" applyBorder="1" applyAlignment="1">
      <alignment horizontal="center"/>
    </xf>
    <xf numFmtId="0" fontId="34" fillId="0" borderId="1" xfId="6" applyNumberFormat="1" applyFont="1" applyFill="1" applyBorder="1" applyAlignment="1">
      <alignment horizontal="center" vertical="center" wrapText="1"/>
    </xf>
    <xf numFmtId="165" fontId="34" fillId="0" borderId="1" xfId="6" applyFont="1" applyFill="1" applyBorder="1" applyAlignment="1">
      <alignment horizontal="center" vertical="center" wrapText="1"/>
    </xf>
    <xf numFmtId="0" fontId="34" fillId="0" borderId="1" xfId="4" applyNumberFormat="1" applyFont="1" applyFill="1" applyBorder="1" applyAlignment="1">
      <alignment horizontal="center" vertical="center" wrapText="1"/>
    </xf>
    <xf numFmtId="164" fontId="34" fillId="0" borderId="1" xfId="7" applyFont="1" applyFill="1" applyBorder="1" applyAlignment="1">
      <alignment horizontal="center" vertical="center" wrapText="1"/>
    </xf>
    <xf numFmtId="0" fontId="39" fillId="0" borderId="1" xfId="8" applyFont="1" applyBorder="1" applyAlignment="1">
      <alignment horizontal="center" vertical="center" wrapText="1"/>
    </xf>
    <xf numFmtId="166" fontId="32" fillId="0" borderId="0" xfId="0" applyNumberFormat="1" applyFont="1" applyAlignment="1">
      <alignment horizontal="center" vertical="center" wrapText="1"/>
    </xf>
    <xf numFmtId="15" fontId="34" fillId="0" borderId="0" xfId="0" applyNumberFormat="1" applyFont="1" applyAlignment="1">
      <alignment horizontal="center" vertical="center" wrapText="1"/>
    </xf>
    <xf numFmtId="166" fontId="34" fillId="0" borderId="0" xfId="0" applyNumberFormat="1" applyFont="1" applyAlignment="1">
      <alignment horizontal="center" vertical="center" wrapText="1"/>
    </xf>
    <xf numFmtId="4" fontId="34" fillId="0" borderId="0" xfId="0" applyNumberFormat="1" applyFont="1" applyAlignment="1">
      <alignment horizontal="center" vertical="center"/>
    </xf>
    <xf numFmtId="0" fontId="0" fillId="0" borderId="0" xfId="0" applyFill="1"/>
    <xf numFmtId="0" fontId="0" fillId="0" borderId="0" xfId="0" applyFill="1" applyAlignment="1">
      <alignment horizontal="left"/>
    </xf>
    <xf numFmtId="164" fontId="0" fillId="0" borderId="0" xfId="0" applyNumberFormat="1" applyFill="1"/>
    <xf numFmtId="0" fontId="0" fillId="0" borderId="0" xfId="0" applyFill="1" applyAlignment="1">
      <alignment horizontal="right"/>
    </xf>
    <xf numFmtId="0" fontId="1" fillId="0" borderId="1" xfId="4" applyFont="1" applyFill="1" applyBorder="1" applyAlignment="1">
      <alignment horizontal="center" vertical="center" wrapText="1"/>
    </xf>
    <xf numFmtId="166" fontId="1" fillId="0" borderId="1" xfId="0" applyNumberFormat="1" applyFont="1" applyBorder="1" applyAlignment="1">
      <alignment horizontal="center" vertical="center" wrapText="1"/>
    </xf>
    <xf numFmtId="0" fontId="35" fillId="0" borderId="0" xfId="1" applyFont="1" applyAlignment="1">
      <alignment horizontal="left" vertical="center"/>
    </xf>
    <xf numFmtId="0" fontId="38" fillId="3" borderId="9" xfId="4" applyFont="1" applyFill="1" applyBorder="1" applyAlignment="1">
      <alignment horizontal="center" vertical="center" wrapText="1"/>
    </xf>
    <xf numFmtId="0" fontId="38" fillId="3" borderId="12" xfId="4" applyFont="1" applyFill="1" applyBorder="1" applyAlignment="1">
      <alignment horizontal="center" vertical="center" wrapText="1"/>
    </xf>
    <xf numFmtId="0" fontId="38" fillId="3" borderId="10" xfId="4" applyFont="1" applyFill="1" applyBorder="1" applyAlignment="1">
      <alignment horizontal="center" vertical="center" wrapText="1"/>
    </xf>
    <xf numFmtId="0" fontId="9" fillId="3" borderId="9" xfId="4" applyFont="1" applyFill="1" applyBorder="1" applyAlignment="1">
      <alignment horizontal="center" vertical="center" wrapText="1"/>
    </xf>
    <xf numFmtId="0" fontId="9" fillId="3" borderId="10" xfId="4" applyFont="1" applyFill="1" applyBorder="1" applyAlignment="1">
      <alignment horizontal="center" vertical="center" wrapText="1"/>
    </xf>
    <xf numFmtId="0" fontId="9" fillId="3" borderId="12" xfId="4" applyFont="1" applyFill="1" applyBorder="1" applyAlignment="1">
      <alignment horizontal="center" vertical="center" wrapText="1"/>
    </xf>
    <xf numFmtId="0" fontId="23" fillId="0" borderId="0" xfId="1" applyFont="1" applyAlignment="1">
      <alignment horizontal="left" vertical="center"/>
    </xf>
    <xf numFmtId="0" fontId="15" fillId="3" borderId="0" xfId="0" applyFont="1" applyFill="1" applyAlignment="1">
      <alignment horizontal="center"/>
    </xf>
    <xf numFmtId="0" fontId="9" fillId="14" borderId="0" xfId="0" applyFont="1" applyFill="1" applyAlignment="1">
      <alignment horizontal="center"/>
    </xf>
    <xf numFmtId="164" fontId="20" fillId="10" borderId="24" xfId="7" applyFont="1" applyFill="1" applyBorder="1" applyAlignment="1">
      <alignment horizontal="left" vertical="center"/>
    </xf>
    <xf numFmtId="164" fontId="20" fillId="10" borderId="25" xfId="7" applyFont="1" applyFill="1" applyBorder="1" applyAlignment="1">
      <alignment horizontal="left" vertical="center"/>
    </xf>
    <xf numFmtId="0" fontId="18" fillId="10" borderId="0" xfId="0" applyFont="1" applyFill="1" applyAlignment="1">
      <alignment horizontal="center" vertical="center"/>
    </xf>
    <xf numFmtId="0" fontId="0" fillId="9" borderId="0" xfId="0" applyFill="1" applyAlignment="1">
      <alignment horizontal="center"/>
    </xf>
    <xf numFmtId="0" fontId="0" fillId="0" borderId="0" xfId="0" applyAlignment="1">
      <alignment horizontal="center"/>
    </xf>
    <xf numFmtId="0" fontId="10" fillId="6" borderId="0" xfId="0" applyFont="1" applyFill="1" applyAlignment="1">
      <alignment horizontal="center" wrapText="1"/>
    </xf>
    <xf numFmtId="0" fontId="17" fillId="6" borderId="0" xfId="0" applyFont="1" applyFill="1" applyAlignment="1">
      <alignment horizontal="center" vertical="center" wrapText="1"/>
    </xf>
    <xf numFmtId="0" fontId="40" fillId="0" borderId="0" xfId="0" applyFont="1" applyAlignment="1">
      <alignment horizontal="center" vertical="center" wrapText="1"/>
    </xf>
    <xf numFmtId="0" fontId="41" fillId="2" borderId="1" xfId="4" applyFont="1" applyFill="1" applyBorder="1" applyAlignment="1">
      <alignment horizontal="center" vertical="center" wrapText="1"/>
    </xf>
    <xf numFmtId="0" fontId="42" fillId="2" borderId="5" xfId="4" applyFont="1" applyFill="1" applyBorder="1" applyAlignment="1">
      <alignment horizontal="center" vertical="center" wrapText="1"/>
    </xf>
    <xf numFmtId="0" fontId="40" fillId="2" borderId="6" xfId="4" applyFont="1" applyFill="1" applyBorder="1" applyAlignment="1">
      <alignment horizontal="center" vertical="center" wrapText="1"/>
    </xf>
    <xf numFmtId="0" fontId="40" fillId="2" borderId="6" xfId="4" applyNumberFormat="1" applyFont="1" applyFill="1" applyBorder="1" applyAlignment="1">
      <alignment horizontal="center" vertical="center" wrapText="1"/>
    </xf>
    <xf numFmtId="15" fontId="40" fillId="2" borderId="6" xfId="4" applyNumberFormat="1" applyFont="1" applyFill="1" applyBorder="1" applyAlignment="1">
      <alignment horizontal="center" vertical="center" wrapText="1"/>
    </xf>
    <xf numFmtId="0" fontId="40" fillId="2" borderId="6" xfId="0" applyFont="1" applyFill="1" applyBorder="1" applyAlignment="1">
      <alignment horizontal="center" vertical="center"/>
    </xf>
    <xf numFmtId="0" fontId="40" fillId="2" borderId="6" xfId="0" applyFont="1" applyFill="1" applyBorder="1" applyAlignment="1">
      <alignment horizontal="center" vertical="center" wrapText="1"/>
    </xf>
    <xf numFmtId="4" fontId="40" fillId="2" borderId="6" xfId="4" applyNumberFormat="1" applyFont="1" applyFill="1" applyBorder="1" applyAlignment="1">
      <alignment horizontal="center" vertical="center" wrapText="1"/>
    </xf>
    <xf numFmtId="0" fontId="40" fillId="2" borderId="6" xfId="4" applyFont="1" applyFill="1" applyBorder="1" applyAlignment="1">
      <alignment horizontal="center" vertical="center"/>
    </xf>
  </cellXfs>
  <cellStyles count="10">
    <cellStyle name="Comma" xfId="7" builtinId="3"/>
    <cellStyle name="Currency Custom" xfId="6" xr:uid="{00000000-0005-0000-0000-000001000000}"/>
    <cellStyle name="Days" xfId="5" xr:uid="{00000000-0005-0000-0000-000002000000}"/>
    <cellStyle name="Input Custom" xfId="3" xr:uid="{00000000-0005-0000-0000-000003000000}"/>
    <cellStyle name="Labels" xfId="2" xr:uid="{00000000-0005-0000-0000-000004000000}"/>
    <cellStyle name="Normal" xfId="0" builtinId="0"/>
    <cellStyle name="Normal 11" xfId="8" xr:uid="{00000000-0005-0000-0000-000006000000}"/>
    <cellStyle name="Percent" xfId="9" builtinId="5"/>
    <cellStyle name="Table Headers" xfId="4" xr:uid="{00000000-0005-0000-0000-000008000000}"/>
    <cellStyle name="Title" xfId="1" builtinId="15"/>
  </cellStyles>
  <dxfs count="258">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1"/>
      </font>
      <fill>
        <patternFill>
          <bgColor rgb="FF92D050"/>
        </patternFill>
      </fill>
    </dxf>
    <dxf>
      <font>
        <color theme="0"/>
      </font>
      <fill>
        <patternFill>
          <bgColor rgb="FFFF0000"/>
        </patternFill>
      </fill>
    </dxf>
    <dxf>
      <font>
        <color theme="1"/>
      </font>
      <fill>
        <patternFill>
          <bgColor rgb="FF92D050"/>
        </patternFill>
      </fill>
    </dxf>
    <dxf>
      <font>
        <color theme="0"/>
      </font>
      <fill>
        <patternFill>
          <bgColor rgb="FFFF0000"/>
        </patternFill>
      </fill>
    </dxf>
    <dxf>
      <font>
        <b val="0"/>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00_);_(* \(#,##0.00\);_(* &quot;-&quot;??_);_(@_)"/>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numFmt numFmtId="164" formatCode="_(* #,##0.00_);_(* \(#,##0.00\);_(* &quot;-&quot;??_);_(@_)"/>
    </dxf>
    <dxf>
      <font>
        <b/>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3" tint="0.5999938962981048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i val="0"/>
        <strike val="0"/>
        <condense val="0"/>
        <extend val="0"/>
        <outline val="0"/>
        <shadow val="0"/>
        <u val="none"/>
        <vertAlign val="baseline"/>
        <sz val="11"/>
        <color theme="1"/>
        <name val="Calibri"/>
        <family val="2"/>
        <scheme val="minor"/>
      </font>
      <numFmt numFmtId="164" formatCode="_(* #,##0.00_);_(* \(#,##0.00\);_(* &quot;-&quot;??_);_(@_)"/>
      <fill>
        <patternFill patternType="solid">
          <fgColor indexed="64"/>
          <bgColor theme="3"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left style="thin">
          <color theme="0"/>
        </left>
        <right style="thin">
          <color theme="0"/>
        </right>
        <top style="thin">
          <color theme="0"/>
        </top>
        <bottom style="thin">
          <color theme="0"/>
        </bottom>
      </border>
    </dxf>
    <dxf>
      <border outline="0">
        <bottom style="thin">
          <color theme="0"/>
        </bottom>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bottom"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4" formatCode="_(* #,##0.00_);_(* \(#,##0.00\);_(* &quot;-&quot;??_);_(@_)"/>
      <border diagonalUp="0" diagonalDown="0">
        <left style="thin">
          <color indexed="64"/>
        </left>
        <right/>
        <top style="thin">
          <color indexed="64"/>
        </top>
        <bottom style="thin">
          <color indexed="64"/>
        </bottom>
        <vertical/>
        <horizontal/>
      </border>
    </dxf>
    <dxf>
      <numFmt numFmtId="164" formatCode="_(* #,##0.00_);_(* \(#,##0.00\);_(* &quot;-&quot;??_);_(@_)"/>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4" formatCode="_(* #,##0.00_);_(* \(#,##0.00\);_(* &quot;-&quot;??_);_(@_)"/>
      <border diagonalUp="0" diagonalDown="0">
        <left style="thin">
          <color indexed="64"/>
        </left>
        <right/>
        <top style="thin">
          <color indexed="64"/>
        </top>
        <bottom style="thin">
          <color indexed="64"/>
        </bottom>
        <vertical/>
        <horizontal/>
      </border>
    </dxf>
    <dxf>
      <numFmt numFmtId="164" formatCode="_(* #,##0.00_);_(* \(#,##0.00\);_(* &quot;-&quot;??_);_(@_)"/>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4" formatCode="_(* #,##0.00_);_(* \(#,##0.00\);_(* &quot;-&quot;??_);_(@_)"/>
      <border diagonalUp="0" diagonalDown="0">
        <left style="thin">
          <color indexed="64"/>
        </left>
        <right/>
        <top style="thin">
          <color indexed="64"/>
        </top>
        <bottom style="thin">
          <color indexed="64"/>
        </bottom>
        <vertical/>
        <horizontal/>
      </border>
    </dxf>
    <dxf>
      <numFmt numFmtId="164" formatCode="_(* #,##0.00_);_(* \(#,##0.00\);_(* &quot;-&quot;??_);_(@_)"/>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numFmt numFmtId="164"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numFmt numFmtId="164"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numFmt numFmtId="164" formatCode="_(* #,##0.00_);_(* \(#,##0.00\);_(* &quot;-&quot;??_);_(@_)"/>
    </dxf>
    <dxf>
      <numFmt numFmtId="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00_);_(* \(#,##0.00\);_(* &quot;-&quot;??_);_(@_)"/>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ttom style="thin">
          <color indexed="64"/>
        </bottom>
      </border>
    </dxf>
    <dxf>
      <fill>
        <patternFill patternType="none">
          <fgColor indexed="64"/>
          <bgColor auto="1"/>
        </patternFill>
      </fill>
    </dxf>
    <dxf>
      <border outline="0">
        <bottom style="thin">
          <color rgb="FF000000"/>
        </bottom>
      </border>
    </dxf>
    <dxf>
      <font>
        <b/>
        <i val="0"/>
        <strike val="0"/>
        <condense val="0"/>
        <extend val="0"/>
        <outline val="0"/>
        <shadow val="0"/>
        <u val="none"/>
        <vertAlign val="baseline"/>
        <sz val="11"/>
        <color rgb="FF000000"/>
        <name val="Calibri"/>
        <scheme val="minor"/>
      </font>
      <fill>
        <patternFill patternType="solid">
          <fgColor indexed="64"/>
          <bgColor rgb="FFE7F3FD"/>
        </patternFill>
      </fill>
      <alignment horizontal="center" vertical="top"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ttom style="thin">
          <color indexed="64"/>
        </bottom>
      </border>
    </dxf>
    <dxf>
      <font>
        <strike val="0"/>
        <outline val="0"/>
        <shadow val="0"/>
        <u val="none"/>
        <vertAlign val="baseline"/>
        <sz val="11"/>
        <color auto="1"/>
        <name val="Calibri"/>
        <scheme val="minor"/>
      </font>
      <fill>
        <patternFill patternType="none">
          <fgColor indexed="64"/>
          <bgColor auto="1"/>
        </patternFill>
      </fill>
    </dxf>
    <dxf>
      <font>
        <b/>
        <i val="0"/>
        <strike val="0"/>
        <condense val="0"/>
        <extend val="0"/>
        <outline val="0"/>
        <shadow val="0"/>
        <u val="none"/>
        <vertAlign val="baseline"/>
        <sz val="11"/>
        <color auto="1"/>
        <name val="Calibri"/>
        <scheme val="minor"/>
      </font>
      <fill>
        <patternFill patternType="solid">
          <fgColor indexed="64"/>
          <bgColor rgb="FFE7F3FD"/>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92D050"/>
        </patternFill>
      </fill>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fill>
        <patternFill patternType="solid">
          <fgColor indexed="64"/>
          <bgColor rgb="FF92D050"/>
        </patternFill>
      </fill>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92D050"/>
        </patternFill>
      </fill>
    </dxf>
    <dxf>
      <font>
        <strike val="0"/>
        <outline val="0"/>
        <shadow val="0"/>
        <u val="none"/>
        <vertAlign val="baseline"/>
        <sz val="11"/>
      </font>
      <numFmt numFmtId="164" formatCode="_(* #,##0.00_);_(* \(#,##0.00\);_(* &quot;-&quot;??_);_(@_)"/>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strike val="0"/>
        <outline val="0"/>
        <shadow val="0"/>
        <u val="none"/>
        <vertAlign val="baseline"/>
        <sz val="11"/>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166" formatCode="[$-409]mmmm\ d\,\ yyyy;@"/>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409]mmmm\ d\,\ 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bottom/>
      </border>
    </dxf>
    <dxf>
      <font>
        <strike val="0"/>
        <outline val="0"/>
        <shadow val="0"/>
        <u val="none"/>
        <vertAlign val="baseline"/>
        <sz val="11"/>
      </font>
      <fill>
        <patternFill patternType="none">
          <fgColor indexed="64"/>
          <bgColor auto="1"/>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4" formatCode="#,##0.00"/>
      <fill>
        <patternFill patternType="none">
          <fgColor indexed="64"/>
          <bgColor indexed="65"/>
        </patternFill>
      </fill>
      <alignment horizontal="center" vertical="bottom"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scheme val="minor"/>
      </font>
      <numFmt numFmtId="166" formatCode="[$-409]mmmm\ d\,\ yyyy;@"/>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numFmt numFmtId="166" formatCode="[$-409]mmmm\ d\,\ yyyy;@"/>
      <fill>
        <patternFill patternType="none">
          <fgColor indexed="64"/>
          <bgColor auto="1"/>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numFmt numFmtId="2" formatCode="0.0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border>
    </dxf>
    <dxf>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numFmt numFmtId="1" formatCode="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border>
    </dxf>
    <dxf>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409]mmmm\ d\,\ yyyy;@"/>
      <fill>
        <patternFill patternType="none">
          <fgColor indexed="64"/>
          <bgColor indexed="65"/>
        </patternFill>
      </fill>
      <alignment horizontal="center" vertical="bottom" textRotation="0" wrapText="1" indent="0" justifyLastLine="0" shrinkToFit="0" readingOrder="0"/>
      <border diagonalUp="0" diagonalDown="0" outline="0">
        <left/>
        <right style="thin">
          <color indexed="64"/>
        </right>
        <top style="thin">
          <color indexed="64"/>
        </top>
        <bottom/>
      </border>
    </dxf>
    <dxf>
      <font>
        <strike val="0"/>
        <outline val="0"/>
        <shadow val="0"/>
        <u val="none"/>
        <vertAlign val="baseline"/>
        <sz val="11"/>
      </font>
      <numFmt numFmtId="166" formatCode="[$-409]mmmm\ d\,\ yyyy;@"/>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409]mmmm\ d\,\ yyyy;@"/>
      <fill>
        <patternFill patternType="none">
          <fgColor indexed="64"/>
          <bgColor indexed="65"/>
        </patternFill>
      </fill>
      <alignment horizontal="center" vertical="bottom"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166" formatCode="[$-409]mmmm\ d\,\ 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font>
      <numFmt numFmtId="170" formatCode="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0" formatCode="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strike val="0"/>
        <outline val="0"/>
        <shadow val="0"/>
        <u val="none"/>
        <vertAlign val="baseline"/>
        <sz val="11"/>
      </font>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0" formatCode="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6" formatCode="[$-409]mmmm\ d\,\ 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auto="1"/>
        </patternFill>
      </fill>
      <alignment horizontal="center" vertical="center" textRotation="0" wrapText="1" indent="0" justifyLastLine="0" shrinkToFit="0" readingOrder="0"/>
    </dxf>
    <dxf>
      <border outline="0">
        <bottom style="thin">
          <color indexed="64"/>
        </bottom>
      </border>
    </dxf>
    <dxf>
      <font>
        <sz val="11"/>
        <color theme="0"/>
        <name val="Calibri"/>
        <scheme val="minor"/>
      </font>
      <fill>
        <patternFill>
          <bgColor rgb="FF222B35"/>
        </patternFill>
      </fill>
      <border diagonalUp="0" diagonalDown="0">
        <left/>
        <right/>
        <top/>
        <bottom/>
        <vertical/>
        <horizontal/>
      </border>
    </dxf>
    <dxf>
      <font>
        <color theme="0"/>
      </font>
      <fill>
        <patternFill patternType="solid">
          <fgColor theme="0"/>
          <bgColor rgb="FF222B35"/>
        </patternFill>
      </fill>
      <border diagonalUp="0" diagonalDown="0">
        <left/>
        <right/>
        <top/>
        <bottom/>
        <vertical/>
        <horizontal/>
      </border>
    </dxf>
    <dxf>
      <font>
        <sz val="11"/>
        <color theme="0"/>
        <name val="Calibri"/>
        <scheme val="minor"/>
      </font>
      <fill>
        <patternFill>
          <bgColor rgb="FF222B35"/>
        </patternFill>
      </fill>
      <border diagonalUp="0" diagonalDown="0">
        <left/>
        <right/>
        <top/>
        <bottom/>
        <vertical/>
        <horizontal/>
      </border>
    </dxf>
    <dxf>
      <font>
        <color theme="0"/>
      </font>
      <fill>
        <patternFill patternType="solid">
          <fgColor theme="0"/>
          <bgColor rgb="FF222B35"/>
        </patternFill>
      </fill>
      <border diagonalUp="0" diagonalDown="0">
        <left style="thin">
          <color theme="0"/>
        </left>
        <right style="thin">
          <color theme="0"/>
        </right>
        <top style="thin">
          <color theme="0"/>
        </top>
        <bottom style="thin">
          <color theme="0"/>
        </bottom>
        <vertical/>
        <horizontal/>
      </border>
    </dxf>
    <dxf>
      <font>
        <color theme="5" tint="0.39994506668294322"/>
      </font>
      <border>
        <left style="thin">
          <color theme="0"/>
        </left>
        <right style="thin">
          <color theme="0"/>
        </right>
        <top style="thin">
          <color theme="0"/>
        </top>
        <bottom style="thin">
          <color theme="0"/>
        </bottom>
      </border>
    </dxf>
    <dxf>
      <font>
        <color theme="0" tint="-0.14996795556505021"/>
      </font>
      <fill>
        <patternFill>
          <bgColor rgb="FF222B35"/>
        </patternFill>
      </fill>
    </dxf>
    <dxf>
      <font>
        <color theme="5" tint="0.39994506668294322"/>
      </font>
      <border>
        <left style="thin">
          <color theme="0"/>
        </left>
        <right style="thin">
          <color theme="0"/>
        </right>
        <top style="thin">
          <color theme="0"/>
        </top>
        <bottom style="thin">
          <color theme="0"/>
        </bottom>
      </border>
    </dxf>
    <dxf>
      <font>
        <color theme="0" tint="-0.14996795556505021"/>
      </font>
      <fill>
        <patternFill>
          <bgColor rgb="FF222B35"/>
        </patternFill>
      </fill>
      <border>
        <left style="thin">
          <color theme="0"/>
        </left>
        <right style="thin">
          <color theme="0"/>
        </right>
        <top style="thin">
          <color theme="0"/>
        </top>
        <bottom style="thin">
          <color theme="0"/>
        </bottom>
      </border>
    </dxf>
  </dxfs>
  <tableStyles count="4" defaultTableStyle="TableStyleMedium2" defaultPivotStyle="PivotStyleLight16">
    <tableStyle name="Slicer Style 1" pivot="0" table="0" count="8" xr9:uid="{00000000-0011-0000-FFFF-FFFF00000000}">
      <tableStyleElement type="wholeTable" dxfId="257"/>
      <tableStyleElement type="headerRow" dxfId="256"/>
    </tableStyle>
    <tableStyle name="Slicer Style 1 2" pivot="0" table="0" count="8" xr9:uid="{00000000-0011-0000-FFFF-FFFF01000000}">
      <tableStyleElement type="wholeTable" dxfId="255"/>
      <tableStyleElement type="headerRow" dxfId="254"/>
    </tableStyle>
    <tableStyle name="Timeline Style 1" pivot="0" table="0" count="9" xr9:uid="{00000000-0011-0000-FFFF-FFFF02000000}">
      <tableStyleElement type="wholeTable" dxfId="253"/>
      <tableStyleElement type="headerRow" dxfId="252"/>
    </tableStyle>
    <tableStyle name="Timeline Style 1 2" pivot="0" table="0" count="9" xr9:uid="{00000000-0011-0000-FFFF-FFFF03000000}">
      <tableStyleElement type="wholeTable" dxfId="251"/>
      <tableStyleElement type="headerRow" dxfId="250"/>
    </tableStyle>
  </tableStyles>
  <colors>
    <mruColors>
      <color rgb="FFFF0000"/>
      <color rgb="FF00FFFF"/>
      <color rgb="FFFA3912"/>
      <color rgb="FF222B35"/>
    </mruColors>
  </colors>
  <extLst>
    <ext xmlns:x14="http://schemas.microsoft.com/office/spreadsheetml/2009/9/main" uri="{46F421CA-312F-682f-3DD2-61675219B42D}">
      <x14:dxfs count="12">
        <dxf>
          <font>
            <color theme="0" tint="-0.14996795556505021"/>
          </font>
        </dxf>
        <dxf>
          <font>
            <color theme="0"/>
          </font>
        </dxf>
        <dxf>
          <font>
            <color theme="5" tint="0.59996337778862885"/>
          </font>
        </dxf>
        <dxf>
          <font>
            <color theme="2" tint="-0.499984740745262"/>
          </font>
        </dxf>
        <dxf>
          <font>
            <color theme="0"/>
          </font>
        </dxf>
        <dxf>
          <font>
            <color theme="0" tint="-0.499984740745262"/>
          </font>
        </dxf>
        <dxf>
          <font>
            <color theme="0" tint="-0.14996795556505021"/>
          </font>
        </dxf>
        <dxf>
          <font>
            <color theme="0"/>
          </font>
        </dxf>
        <dxf>
          <font>
            <color theme="5" tint="0.59996337778862885"/>
          </font>
        </dxf>
        <dxf>
          <font>
            <color theme="2" tint="-0.499984740745262"/>
          </font>
        </dxf>
        <dxf>
          <font>
            <color theme="0"/>
          </font>
          <fill>
            <patternFill>
              <bgColor theme="8" tint="-0.499984740745262"/>
            </patternFill>
          </fill>
          <border>
            <left style="thin">
              <color auto="1"/>
            </left>
            <right style="thin">
              <color auto="1"/>
            </right>
            <top style="thin">
              <color auto="1"/>
            </top>
            <bottom style="thin">
              <color auto="1"/>
            </bottom>
          </border>
        </dxf>
        <dxf>
          <font>
            <color theme="0" tint="-0.49998474074526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selectedItemWithNoData" dxfId="9"/>
            <x14:slicerStyleElement type="hoveredUnselectedItemWithData" dxfId="8"/>
            <x14:slicerStyleElement type="hoveredSelectedItemWithData" dxfId="7"/>
            <x14:slicerStyleElement type="hoveredSelectedItemWithNoData" dxfId="6"/>
          </x14:slicerStyleElements>
        </x14:slicerStyle>
        <x14:slicerStyle name="Slicer Style 1 2">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4">
        <dxf>
          <fill>
            <patternFill>
              <bgColor theme="1" tint="0.34998626667073579"/>
            </patternFill>
          </fill>
        </dxf>
        <dxf>
          <fill>
            <patternFill patternType="solid">
              <fgColor theme="0" tint="-0.14999847407452621"/>
              <bgColor theme="0" tint="-0.14999847407452621"/>
            </patternFill>
          </fill>
          <border diagonalUp="0" diagonalDown="0">
            <left/>
            <right/>
            <top/>
            <bottom/>
            <vertical/>
            <horizontal/>
          </border>
        </dxf>
        <dxf>
          <fill>
            <patternFill patternType="solid">
              <fgColor theme="0"/>
              <bgColor theme="3" tint="-0.24994659260841701"/>
            </patternFill>
          </fill>
          <border diagonalUp="0" diagonalDown="0">
            <left/>
            <right/>
            <top/>
            <bottom/>
            <vertical/>
            <horizontal/>
          </border>
        </dxf>
        <dxf>
          <font>
            <sz val="9"/>
            <color theme="1" tint="0.499984740745262"/>
          </font>
        </dxf>
        <dxf>
          <font>
            <sz val="9"/>
            <color theme="0"/>
            <name val="Calibri"/>
            <scheme val="minor"/>
          </font>
        </dxf>
        <dxf>
          <font>
            <sz val="9"/>
            <color theme="0"/>
            <name val="Calibri"/>
            <scheme val="minor"/>
          </font>
        </dxf>
        <dxf>
          <font>
            <sz val="10"/>
            <color theme="0"/>
            <name val="Calibri"/>
            <scheme val="minor"/>
          </font>
        </dxf>
        <dxf>
          <fill>
            <patternFill>
              <bgColor theme="1" tint="0.34998626667073579"/>
            </patternFill>
          </fill>
        </dxf>
        <dxf>
          <fill>
            <patternFill patternType="solid">
              <fgColor theme="0" tint="-0.14996795556505021"/>
              <bgColor theme="0"/>
            </patternFill>
          </fill>
          <border diagonalUp="0" diagonalDown="0">
            <left/>
            <right/>
            <top/>
            <bottom/>
            <vertical/>
            <horizontal/>
          </border>
        </dxf>
        <dxf>
          <fill>
            <patternFill patternType="solid">
              <fgColor theme="0"/>
              <bgColor theme="3" tint="-0.24994659260841701"/>
            </patternFill>
          </fill>
          <border diagonalUp="0" diagonalDown="0">
            <left/>
            <right/>
            <top/>
            <bottom/>
            <vertical/>
            <horizontal/>
          </border>
        </dxf>
        <dxf>
          <font>
            <sz val="9"/>
            <color theme="1" tint="0.499984740745262"/>
          </font>
        </dxf>
        <dxf>
          <font>
            <sz val="9"/>
            <color theme="0"/>
            <name val="Calibri"/>
            <scheme val="minor"/>
          </font>
        </dxf>
        <dxf>
          <font>
            <sz val="9"/>
            <color theme="0"/>
            <name val="Calibri"/>
            <scheme val="minor"/>
          </font>
        </dxf>
        <dxf>
          <font>
            <sz val="10"/>
            <color theme="0"/>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000">
                <a:schemeClr val="accent1">
                  <a:lumMod val="50000"/>
                </a:schemeClr>
              </a:gs>
              <a:gs pos="100000">
                <a:schemeClr val="accent1">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0"/>
                </a:schemeClr>
              </a:gs>
              <a:gs pos="84000">
                <a:schemeClr val="accent1">
                  <a:lumMod val="45000"/>
                  <a:lumOff val="55000"/>
                </a:schemeClr>
              </a:gs>
              <a:gs pos="100000">
                <a:schemeClr val="accent1">
                  <a:lumMod val="30000"/>
                  <a:lumOff val="7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22949138051261E-2"/>
          <c:y val="4.8860795000459929E-2"/>
          <c:w val="0.879044835326383"/>
          <c:h val="0.95113920499953986"/>
        </c:manualLayout>
      </c:layout>
      <c:barChart>
        <c:barDir val="bar"/>
        <c:grouping val="clustered"/>
        <c:varyColors val="0"/>
        <c:dLbls>
          <c:showLegendKey val="0"/>
          <c:showVal val="0"/>
          <c:showCatName val="0"/>
          <c:showSerName val="0"/>
          <c:showPercent val="0"/>
          <c:showBubbleSize val="0"/>
        </c:dLbls>
        <c:gapWidth val="70"/>
        <c:axId val="337901344"/>
        <c:axId val="337901904"/>
      </c:barChart>
      <c:catAx>
        <c:axId val="3379013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337901904"/>
        <c:crosses val="autoZero"/>
        <c:auto val="1"/>
        <c:lblAlgn val="ctr"/>
        <c:lblOffset val="100"/>
        <c:noMultiLvlLbl val="0"/>
      </c:catAx>
      <c:valAx>
        <c:axId val="337901904"/>
        <c:scaling>
          <c:orientation val="minMax"/>
        </c:scaling>
        <c:delete val="1"/>
        <c:axPos val="b"/>
        <c:numFmt formatCode="General" sourceLinked="1"/>
        <c:majorTickMark val="none"/>
        <c:minorTickMark val="none"/>
        <c:tickLblPos val="nextTo"/>
        <c:crossAx val="33790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6000">
                <a:schemeClr val="accent1">
                  <a:lumMod val="50000"/>
                </a:schemeClr>
              </a:gs>
              <a:gs pos="100000">
                <a:schemeClr val="accent1">
                  <a:lumMod val="30000"/>
                  <a:lumOff val="70000"/>
                </a:schemeClr>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54257892104961E-2"/>
          <c:y val="4.4181961791089484E-2"/>
          <c:w val="0.8784660227013632"/>
          <c:h val="0.95581803820891054"/>
        </c:manualLayout>
      </c:layout>
      <c:barChart>
        <c:barDir val="bar"/>
        <c:grouping val="clustered"/>
        <c:varyColors val="0"/>
        <c:dLbls>
          <c:showLegendKey val="0"/>
          <c:showVal val="0"/>
          <c:showCatName val="0"/>
          <c:showSerName val="0"/>
          <c:showPercent val="0"/>
          <c:showBubbleSize val="0"/>
        </c:dLbls>
        <c:gapWidth val="70"/>
        <c:axId val="1645314256"/>
        <c:axId val="1597803088"/>
      </c:barChart>
      <c:catAx>
        <c:axId val="1645314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597803088"/>
        <c:crosses val="autoZero"/>
        <c:auto val="1"/>
        <c:lblAlgn val="ctr"/>
        <c:lblOffset val="100"/>
        <c:noMultiLvlLbl val="0"/>
      </c:catAx>
      <c:valAx>
        <c:axId val="1597803088"/>
        <c:scaling>
          <c:orientation val="minMax"/>
        </c:scaling>
        <c:delete val="1"/>
        <c:axPos val="b"/>
        <c:numFmt formatCode="General" sourceLinked="1"/>
        <c:majorTickMark val="out"/>
        <c:minorTickMark val="none"/>
        <c:tickLblPos val="nextTo"/>
        <c:crossAx val="164531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552E-43F7-9DDE-DFA3A480DE70}"/>
              </c:ext>
            </c:extLst>
          </c:dPt>
          <c:dPt>
            <c:idx val="1"/>
            <c:bubble3D val="0"/>
            <c:spPr>
              <a:solidFill>
                <a:schemeClr val="accent2"/>
              </a:solidFill>
              <a:ln w="19050">
                <a:noFill/>
              </a:ln>
              <a:effectLst/>
            </c:spPr>
            <c:extLst>
              <c:ext xmlns:c16="http://schemas.microsoft.com/office/drawing/2014/chart" uri="{C3380CC4-5D6E-409C-BE32-E72D297353CC}">
                <c16:uniqueId val="{00000003-552E-43F7-9DDE-DFA3A480DE70}"/>
              </c:ext>
            </c:extLst>
          </c:dPt>
          <c:val>
            <c:numRef>
              <c:f>Data_Analysis!$G$24:$G$25</c:f>
              <c:numCache>
                <c:formatCode>0.00%</c:formatCode>
                <c:ptCount val="2"/>
                <c:pt idx="0">
                  <c:v>8.3140001479010184E-2</c:v>
                </c:pt>
                <c:pt idx="1">
                  <c:v>0.91685999852098987</c:v>
                </c:pt>
              </c:numCache>
            </c:numRef>
          </c:val>
          <c:extLst>
            <c:ext xmlns:c16="http://schemas.microsoft.com/office/drawing/2014/chart" uri="{C3380CC4-5D6E-409C-BE32-E72D297353CC}">
              <c16:uniqueId val="{00000004-552E-43F7-9DDE-DFA3A480DE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064-4E2B-83D7-26054547C9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064-4E2B-83D7-26054547C91C}"/>
              </c:ext>
            </c:extLst>
          </c:dPt>
          <c:val>
            <c:numRef>
              <c:f>Data_Analysis!$G$27:$G$28</c:f>
              <c:numCache>
                <c:formatCode>0.00%</c:formatCode>
                <c:ptCount val="2"/>
                <c:pt idx="0">
                  <c:v>0</c:v>
                </c:pt>
                <c:pt idx="1">
                  <c:v>1</c:v>
                </c:pt>
              </c:numCache>
            </c:numRef>
          </c:val>
          <c:extLst>
            <c:ext xmlns:c16="http://schemas.microsoft.com/office/drawing/2014/chart" uri="{C3380CC4-5D6E-409C-BE32-E72D297353CC}">
              <c16:uniqueId val="{00000004-6064-4E2B-83D7-26054547C91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DE6B-439F-81B5-F9DD80212FE1}"/>
              </c:ext>
            </c:extLst>
          </c:dPt>
          <c:dPt>
            <c:idx val="1"/>
            <c:bubble3D val="0"/>
            <c:spPr>
              <a:solidFill>
                <a:schemeClr val="accent2"/>
              </a:solidFill>
              <a:ln w="19050">
                <a:noFill/>
              </a:ln>
              <a:effectLst/>
            </c:spPr>
            <c:extLst>
              <c:ext xmlns:c16="http://schemas.microsoft.com/office/drawing/2014/chart" uri="{C3380CC4-5D6E-409C-BE32-E72D297353CC}">
                <c16:uniqueId val="{00000003-DE6B-439F-81B5-F9DD80212FE1}"/>
              </c:ext>
            </c:extLst>
          </c:dPt>
          <c:val>
            <c:numRef>
              <c:f>Data_Analysis!$G$15:$G$16</c:f>
              <c:numCache>
                <c:formatCode>0.00%</c:formatCode>
                <c:ptCount val="2"/>
                <c:pt idx="0">
                  <c:v>0</c:v>
                </c:pt>
                <c:pt idx="1">
                  <c:v>0</c:v>
                </c:pt>
              </c:numCache>
            </c:numRef>
          </c:val>
          <c:extLst>
            <c:ext xmlns:c16="http://schemas.microsoft.com/office/drawing/2014/chart" uri="{C3380CC4-5D6E-409C-BE32-E72D297353CC}">
              <c16:uniqueId val="{00000004-DE6B-439F-81B5-F9DD80212FE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5C7B-4A16-B505-1846608BE656}"/>
              </c:ext>
            </c:extLst>
          </c:dPt>
          <c:dPt>
            <c:idx val="1"/>
            <c:bubble3D val="0"/>
            <c:spPr>
              <a:solidFill>
                <a:schemeClr val="accent2"/>
              </a:solidFill>
              <a:ln w="19050">
                <a:noFill/>
              </a:ln>
              <a:effectLst/>
            </c:spPr>
            <c:extLst>
              <c:ext xmlns:c16="http://schemas.microsoft.com/office/drawing/2014/chart" uri="{C3380CC4-5D6E-409C-BE32-E72D297353CC}">
                <c16:uniqueId val="{00000003-5C7B-4A16-B505-1846608BE656}"/>
              </c:ext>
            </c:extLst>
          </c:dPt>
          <c:val>
            <c:numRef>
              <c:f>Data_Analysis!$G$21:$G$22</c:f>
              <c:numCache>
                <c:formatCode>0.00%</c:formatCode>
                <c:ptCount val="2"/>
                <c:pt idx="0">
                  <c:v>0.46405575310943509</c:v>
                </c:pt>
                <c:pt idx="1">
                  <c:v>0.53594424689056486</c:v>
                </c:pt>
              </c:numCache>
            </c:numRef>
          </c:val>
          <c:extLst>
            <c:ext xmlns:c16="http://schemas.microsoft.com/office/drawing/2014/chart" uri="{C3380CC4-5D6E-409C-BE32-E72D297353CC}">
              <c16:uniqueId val="{00000004-5C7B-4A16-B505-1846608BE65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9525">
              <a:noFill/>
            </a:ln>
          </c:spPr>
          <c:dPt>
            <c:idx val="0"/>
            <c:bubble3D val="0"/>
            <c:spPr>
              <a:solidFill>
                <a:schemeClr val="accent1"/>
              </a:solidFill>
              <a:ln w="9525">
                <a:noFill/>
              </a:ln>
              <a:effectLst/>
            </c:spPr>
            <c:extLst>
              <c:ext xmlns:c16="http://schemas.microsoft.com/office/drawing/2014/chart" uri="{C3380CC4-5D6E-409C-BE32-E72D297353CC}">
                <c16:uniqueId val="{00000001-FD64-4845-896B-20DC034EF3EC}"/>
              </c:ext>
            </c:extLst>
          </c:dPt>
          <c:dPt>
            <c:idx val="1"/>
            <c:bubble3D val="0"/>
            <c:spPr>
              <a:solidFill>
                <a:schemeClr val="accent2"/>
              </a:solidFill>
              <a:ln w="9525">
                <a:noFill/>
              </a:ln>
              <a:effectLst/>
            </c:spPr>
            <c:extLst>
              <c:ext xmlns:c16="http://schemas.microsoft.com/office/drawing/2014/chart" uri="{C3380CC4-5D6E-409C-BE32-E72D297353CC}">
                <c16:uniqueId val="{00000003-FD64-4845-896B-20DC034EF3EC}"/>
              </c:ext>
            </c:extLst>
          </c:dPt>
          <c:val>
            <c:numRef>
              <c:f>Data_Analysis!$G$12:$G$13</c:f>
              <c:numCache>
                <c:formatCode>0.00%</c:formatCode>
                <c:ptCount val="2"/>
                <c:pt idx="0">
                  <c:v>0</c:v>
                </c:pt>
                <c:pt idx="1">
                  <c:v>1</c:v>
                </c:pt>
              </c:numCache>
            </c:numRef>
          </c:val>
          <c:extLst>
            <c:ext xmlns:c16="http://schemas.microsoft.com/office/drawing/2014/chart" uri="{C3380CC4-5D6E-409C-BE32-E72D297353CC}">
              <c16:uniqueId val="{00000004-FD64-4845-896B-20DC034EF3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4918-407F-9589-519DF2C9F001}"/>
              </c:ext>
            </c:extLst>
          </c:dPt>
          <c:dPt>
            <c:idx val="1"/>
            <c:bubble3D val="0"/>
            <c:spPr>
              <a:solidFill>
                <a:schemeClr val="accent2"/>
              </a:solidFill>
              <a:ln w="19050">
                <a:noFill/>
              </a:ln>
              <a:effectLst/>
            </c:spPr>
            <c:extLst>
              <c:ext xmlns:c16="http://schemas.microsoft.com/office/drawing/2014/chart" uri="{C3380CC4-5D6E-409C-BE32-E72D297353CC}">
                <c16:uniqueId val="{00000003-4918-407F-9589-519DF2C9F001}"/>
              </c:ext>
            </c:extLst>
          </c:dPt>
          <c:val>
            <c:numRef>
              <c:f>Data_Analysis!$G$18:$G$19</c:f>
              <c:numCache>
                <c:formatCode>0.00%</c:formatCode>
                <c:ptCount val="2"/>
                <c:pt idx="0">
                  <c:v>0</c:v>
                </c:pt>
                <c:pt idx="1">
                  <c:v>0</c:v>
                </c:pt>
              </c:numCache>
            </c:numRef>
          </c:val>
          <c:extLst>
            <c:ext xmlns:c16="http://schemas.microsoft.com/office/drawing/2014/chart" uri="{C3380CC4-5D6E-409C-BE32-E72D297353CC}">
              <c16:uniqueId val="{00000004-4918-407F-9589-519DF2C9F0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FDBE-4F8A-9D27-5305ECEE8E37}"/>
              </c:ext>
            </c:extLst>
          </c:dPt>
          <c:dPt>
            <c:idx val="1"/>
            <c:bubble3D val="0"/>
            <c:spPr>
              <a:solidFill>
                <a:schemeClr val="accent2"/>
              </a:solidFill>
              <a:ln w="19050">
                <a:noFill/>
              </a:ln>
              <a:effectLst/>
            </c:spPr>
            <c:extLst>
              <c:ext xmlns:c16="http://schemas.microsoft.com/office/drawing/2014/chart" uri="{C3380CC4-5D6E-409C-BE32-E72D297353CC}">
                <c16:uniqueId val="{00000003-FDBE-4F8A-9D27-5305ECEE8E37}"/>
              </c:ext>
            </c:extLst>
          </c:dPt>
          <c:val>
            <c:numRef>
              <c:f>Data_Analysis!$P$9:$P$10</c:f>
              <c:numCache>
                <c:formatCode>0.00%</c:formatCode>
                <c:ptCount val="2"/>
                <c:pt idx="0">
                  <c:v>0</c:v>
                </c:pt>
                <c:pt idx="1">
                  <c:v>0</c:v>
                </c:pt>
              </c:numCache>
            </c:numRef>
          </c:val>
          <c:extLst>
            <c:ext xmlns:c16="http://schemas.microsoft.com/office/drawing/2014/chart" uri="{C3380CC4-5D6E-409C-BE32-E72D297353CC}">
              <c16:uniqueId val="{00000004-FDBE-4F8A-9D27-5305ECEE8E3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32E3-4D61-B14D-6521EE4D6CAA}"/>
              </c:ext>
            </c:extLst>
          </c:dPt>
          <c:dPt>
            <c:idx val="1"/>
            <c:bubble3D val="0"/>
            <c:spPr>
              <a:solidFill>
                <a:schemeClr val="accent2"/>
              </a:solidFill>
              <a:ln w="19050">
                <a:noFill/>
              </a:ln>
              <a:effectLst/>
            </c:spPr>
            <c:extLst>
              <c:ext xmlns:c16="http://schemas.microsoft.com/office/drawing/2014/chart" uri="{C3380CC4-5D6E-409C-BE32-E72D297353CC}">
                <c16:uniqueId val="{00000003-32E3-4D61-B14D-6521EE4D6CAA}"/>
              </c:ext>
            </c:extLst>
          </c:dPt>
          <c:val>
            <c:numRef>
              <c:f>Data_Analysis!$AD$9:$AD$10</c:f>
              <c:numCache>
                <c:formatCode>0.00%</c:formatCode>
                <c:ptCount val="2"/>
                <c:pt idx="0">
                  <c:v>0</c:v>
                </c:pt>
                <c:pt idx="1">
                  <c:v>0</c:v>
                </c:pt>
              </c:numCache>
            </c:numRef>
          </c:val>
          <c:extLst>
            <c:ext xmlns:c16="http://schemas.microsoft.com/office/drawing/2014/chart" uri="{C3380CC4-5D6E-409C-BE32-E72D297353CC}">
              <c16:uniqueId val="{00000004-32E3-4D61-B14D-6521EE4D6C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BE7C-46C7-8463-034D2D37AF6B}"/>
              </c:ext>
            </c:extLst>
          </c:dPt>
          <c:dPt>
            <c:idx val="1"/>
            <c:bubble3D val="0"/>
            <c:spPr>
              <a:solidFill>
                <a:schemeClr val="accent2"/>
              </a:solidFill>
              <a:ln w="19050">
                <a:noFill/>
              </a:ln>
              <a:effectLst/>
            </c:spPr>
            <c:extLst>
              <c:ext xmlns:c16="http://schemas.microsoft.com/office/drawing/2014/chart" uri="{C3380CC4-5D6E-409C-BE32-E72D297353CC}">
                <c16:uniqueId val="{00000003-BE7C-46C7-8463-034D2D37AF6B}"/>
              </c:ext>
            </c:extLst>
          </c:dPt>
          <c:val>
            <c:numRef>
              <c:f>Data_Analysis!$AD$12:$AD$13</c:f>
              <c:numCache>
                <c:formatCode>0.00%</c:formatCode>
                <c:ptCount val="2"/>
                <c:pt idx="0">
                  <c:v>0</c:v>
                </c:pt>
                <c:pt idx="1">
                  <c:v>0</c:v>
                </c:pt>
              </c:numCache>
            </c:numRef>
          </c:val>
          <c:extLst>
            <c:ext xmlns:c16="http://schemas.microsoft.com/office/drawing/2014/chart" uri="{C3380CC4-5D6E-409C-BE32-E72D297353CC}">
              <c16:uniqueId val="{00000004-BE7C-46C7-8463-034D2D37AF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7CB0-447F-AE65-743836199EC3}"/>
              </c:ext>
            </c:extLst>
          </c:dPt>
          <c:dPt>
            <c:idx val="1"/>
            <c:bubble3D val="0"/>
            <c:spPr>
              <a:solidFill>
                <a:schemeClr val="accent2"/>
              </a:solidFill>
              <a:ln w="19050">
                <a:noFill/>
              </a:ln>
              <a:effectLst/>
            </c:spPr>
            <c:extLst>
              <c:ext xmlns:c16="http://schemas.microsoft.com/office/drawing/2014/chart" uri="{C3380CC4-5D6E-409C-BE32-E72D297353CC}">
                <c16:uniqueId val="{00000003-7CB0-447F-AE65-743836199EC3}"/>
              </c:ext>
            </c:extLst>
          </c:dPt>
          <c:val>
            <c:numRef>
              <c:f>Data_Analysis!$AD$15:$AD$16</c:f>
              <c:numCache>
                <c:formatCode>0.00%</c:formatCode>
                <c:ptCount val="2"/>
                <c:pt idx="0">
                  <c:v>0</c:v>
                </c:pt>
                <c:pt idx="1">
                  <c:v>0</c:v>
                </c:pt>
              </c:numCache>
            </c:numRef>
          </c:val>
          <c:extLst>
            <c:ext xmlns:c16="http://schemas.microsoft.com/office/drawing/2014/chart" uri="{C3380CC4-5D6E-409C-BE32-E72D297353CC}">
              <c16:uniqueId val="{00000004-7CB0-447F-AE65-743836199EC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9C02-4EF5-8B05-0C5A430E7CAB}"/>
              </c:ext>
            </c:extLst>
          </c:dPt>
          <c:dPt>
            <c:idx val="1"/>
            <c:bubble3D val="0"/>
            <c:spPr>
              <a:solidFill>
                <a:schemeClr val="accent2"/>
              </a:solidFill>
              <a:ln w="19050">
                <a:noFill/>
              </a:ln>
              <a:effectLst/>
            </c:spPr>
            <c:extLst>
              <c:ext xmlns:c16="http://schemas.microsoft.com/office/drawing/2014/chart" uri="{C3380CC4-5D6E-409C-BE32-E72D297353CC}">
                <c16:uniqueId val="{00000003-9C02-4EF5-8B05-0C5A430E7CAB}"/>
              </c:ext>
            </c:extLst>
          </c:dPt>
          <c:val>
            <c:numRef>
              <c:f>Data_Analysis!$AD$18:$AD$19</c:f>
              <c:numCache>
                <c:formatCode>0.00%</c:formatCode>
                <c:ptCount val="2"/>
                <c:pt idx="0">
                  <c:v>0</c:v>
                </c:pt>
                <c:pt idx="1">
                  <c:v>0</c:v>
                </c:pt>
              </c:numCache>
            </c:numRef>
          </c:val>
          <c:extLst>
            <c:ext xmlns:c16="http://schemas.microsoft.com/office/drawing/2014/chart" uri="{C3380CC4-5D6E-409C-BE32-E72D297353CC}">
              <c16:uniqueId val="{00000004-9C02-4EF5-8B05-0C5A430E7C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EB36-4BE4-8E54-E2CFDFBD57D5}"/>
              </c:ext>
            </c:extLst>
          </c:dPt>
          <c:dPt>
            <c:idx val="1"/>
            <c:bubble3D val="0"/>
            <c:spPr>
              <a:solidFill>
                <a:schemeClr val="accent2"/>
              </a:solidFill>
              <a:ln w="19050">
                <a:noFill/>
              </a:ln>
              <a:effectLst/>
            </c:spPr>
            <c:extLst>
              <c:ext xmlns:c16="http://schemas.microsoft.com/office/drawing/2014/chart" uri="{C3380CC4-5D6E-409C-BE32-E72D297353CC}">
                <c16:uniqueId val="{00000003-EB36-4BE4-8E54-E2CFDFBD57D5}"/>
              </c:ext>
            </c:extLst>
          </c:dPt>
          <c:val>
            <c:numRef>
              <c:f>Data_Analysis!$AD$21:$AD$22</c:f>
              <c:numCache>
                <c:formatCode>0.00%</c:formatCode>
                <c:ptCount val="2"/>
                <c:pt idx="0">
                  <c:v>0</c:v>
                </c:pt>
                <c:pt idx="1">
                  <c:v>0</c:v>
                </c:pt>
              </c:numCache>
            </c:numRef>
          </c:val>
          <c:extLst>
            <c:ext xmlns:c16="http://schemas.microsoft.com/office/drawing/2014/chart" uri="{C3380CC4-5D6E-409C-BE32-E72D297353CC}">
              <c16:uniqueId val="{00000004-EB36-4BE4-8E54-E2CFDFBD57D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1EC5-4A83-A063-57182E991528}"/>
              </c:ext>
            </c:extLst>
          </c:dPt>
          <c:dPt>
            <c:idx val="1"/>
            <c:bubble3D val="0"/>
            <c:spPr>
              <a:solidFill>
                <a:schemeClr val="accent2"/>
              </a:solidFill>
              <a:ln w="19050">
                <a:noFill/>
              </a:ln>
              <a:effectLst/>
            </c:spPr>
            <c:extLst>
              <c:ext xmlns:c16="http://schemas.microsoft.com/office/drawing/2014/chart" uri="{C3380CC4-5D6E-409C-BE32-E72D297353CC}">
                <c16:uniqueId val="{00000003-1EC5-4A83-A063-57182E991528}"/>
              </c:ext>
            </c:extLst>
          </c:dPt>
          <c:val>
            <c:numRef>
              <c:f>Data_Analysis!$AD$27:$AD$28</c:f>
              <c:numCache>
                <c:formatCode>0.00%</c:formatCode>
                <c:ptCount val="2"/>
                <c:pt idx="0">
                  <c:v>0</c:v>
                </c:pt>
                <c:pt idx="1">
                  <c:v>0</c:v>
                </c:pt>
              </c:numCache>
            </c:numRef>
          </c:val>
          <c:extLst>
            <c:ext xmlns:c16="http://schemas.microsoft.com/office/drawing/2014/chart" uri="{C3380CC4-5D6E-409C-BE32-E72D297353CC}">
              <c16:uniqueId val="{00000004-1EC5-4A83-A063-57182E99152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1079-44D0-A0B6-04AF237A6655}"/>
              </c:ext>
            </c:extLst>
          </c:dPt>
          <c:dPt>
            <c:idx val="1"/>
            <c:bubble3D val="0"/>
            <c:spPr>
              <a:solidFill>
                <a:schemeClr val="accent2"/>
              </a:solidFill>
              <a:ln w="19050">
                <a:noFill/>
              </a:ln>
              <a:effectLst/>
            </c:spPr>
            <c:extLst>
              <c:ext xmlns:c16="http://schemas.microsoft.com/office/drawing/2014/chart" uri="{C3380CC4-5D6E-409C-BE32-E72D297353CC}">
                <c16:uniqueId val="{00000003-1079-44D0-A0B6-04AF237A6655}"/>
              </c:ext>
            </c:extLst>
          </c:dPt>
          <c:val>
            <c:numRef>
              <c:f>Data_Analysis!$AD$30:$AD$31</c:f>
              <c:numCache>
                <c:formatCode>0.00%</c:formatCode>
                <c:ptCount val="2"/>
                <c:pt idx="0">
                  <c:v>0</c:v>
                </c:pt>
                <c:pt idx="1">
                  <c:v>0</c:v>
                </c:pt>
              </c:numCache>
            </c:numRef>
          </c:val>
          <c:extLst>
            <c:ext xmlns:c16="http://schemas.microsoft.com/office/drawing/2014/chart" uri="{C3380CC4-5D6E-409C-BE32-E72D297353CC}">
              <c16:uniqueId val="{00000004-1079-44D0-A0B6-04AF237A665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BE9B-4C43-88DF-A1D784D1F502}"/>
              </c:ext>
            </c:extLst>
          </c:dPt>
          <c:dPt>
            <c:idx val="1"/>
            <c:bubble3D val="0"/>
            <c:spPr>
              <a:solidFill>
                <a:schemeClr val="accent2"/>
              </a:solidFill>
              <a:ln w="19050">
                <a:noFill/>
              </a:ln>
              <a:effectLst/>
            </c:spPr>
            <c:extLst>
              <c:ext xmlns:c16="http://schemas.microsoft.com/office/drawing/2014/chart" uri="{C3380CC4-5D6E-409C-BE32-E72D297353CC}">
                <c16:uniqueId val="{00000003-BE9B-4C43-88DF-A1D784D1F502}"/>
              </c:ext>
            </c:extLst>
          </c:dPt>
          <c:val>
            <c:numRef>
              <c:f>Data_Analysis!$AD$33:$AD$34</c:f>
              <c:numCache>
                <c:formatCode>0.00%</c:formatCode>
                <c:ptCount val="2"/>
                <c:pt idx="0">
                  <c:v>0</c:v>
                </c:pt>
                <c:pt idx="1">
                  <c:v>0</c:v>
                </c:pt>
              </c:numCache>
            </c:numRef>
          </c:val>
          <c:extLst>
            <c:ext xmlns:c16="http://schemas.microsoft.com/office/drawing/2014/chart" uri="{C3380CC4-5D6E-409C-BE32-E72D297353CC}">
              <c16:uniqueId val="{00000004-BE9B-4C43-88DF-A1D784D1F5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ABC6-49A4-9D71-9E2CDD106461}"/>
              </c:ext>
            </c:extLst>
          </c:dPt>
          <c:dPt>
            <c:idx val="1"/>
            <c:bubble3D val="0"/>
            <c:spPr>
              <a:solidFill>
                <a:schemeClr val="accent2"/>
              </a:solidFill>
              <a:ln w="19050">
                <a:noFill/>
              </a:ln>
              <a:effectLst/>
            </c:spPr>
            <c:extLst>
              <c:ext xmlns:c16="http://schemas.microsoft.com/office/drawing/2014/chart" uri="{C3380CC4-5D6E-409C-BE32-E72D297353CC}">
                <c16:uniqueId val="{00000003-ABC6-49A4-9D71-9E2CDD106461}"/>
              </c:ext>
            </c:extLst>
          </c:dPt>
          <c:val>
            <c:numRef>
              <c:f>Data_Analysis!$AD$24:$AD$25</c:f>
              <c:numCache>
                <c:formatCode>0.00%</c:formatCode>
                <c:ptCount val="2"/>
                <c:pt idx="0">
                  <c:v>0</c:v>
                </c:pt>
                <c:pt idx="1">
                  <c:v>0</c:v>
                </c:pt>
              </c:numCache>
            </c:numRef>
          </c:val>
          <c:extLst>
            <c:ext xmlns:c16="http://schemas.microsoft.com/office/drawing/2014/chart" uri="{C3380CC4-5D6E-409C-BE32-E72D297353CC}">
              <c16:uniqueId val="{00000004-ABC6-49A4-9D71-9E2CDD10646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BE9B-4C43-88DF-A1D784D1F502}"/>
              </c:ext>
            </c:extLst>
          </c:dPt>
          <c:dPt>
            <c:idx val="1"/>
            <c:bubble3D val="0"/>
            <c:spPr>
              <a:solidFill>
                <a:schemeClr val="accent2"/>
              </a:solidFill>
              <a:ln w="19050">
                <a:noFill/>
              </a:ln>
              <a:effectLst/>
            </c:spPr>
            <c:extLst>
              <c:ext xmlns:c16="http://schemas.microsoft.com/office/drawing/2014/chart" uri="{C3380CC4-5D6E-409C-BE32-E72D297353CC}">
                <c16:uniqueId val="{00000003-BE9B-4C43-88DF-A1D784D1F502}"/>
              </c:ext>
            </c:extLst>
          </c:dPt>
          <c:val>
            <c:numRef>
              <c:f>Data_Analysis!$AD$33:$AD$34</c:f>
              <c:numCache>
                <c:formatCode>0.00%</c:formatCode>
                <c:ptCount val="2"/>
                <c:pt idx="0">
                  <c:v>0</c:v>
                </c:pt>
                <c:pt idx="1">
                  <c:v>0</c:v>
                </c:pt>
              </c:numCache>
            </c:numRef>
          </c:val>
          <c:extLst>
            <c:ext xmlns:c16="http://schemas.microsoft.com/office/drawing/2014/chart" uri="{C3380CC4-5D6E-409C-BE32-E72D297353CC}">
              <c16:uniqueId val="{00000004-BE9B-4C43-88DF-A1D784D1F5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C1B5-49D5-89F3-7C54F6BE7DFE}"/>
              </c:ext>
            </c:extLst>
          </c:dPt>
          <c:dPt>
            <c:idx val="1"/>
            <c:bubble3D val="0"/>
            <c:spPr>
              <a:solidFill>
                <a:schemeClr val="accent2"/>
              </a:solidFill>
              <a:ln w="19050">
                <a:noFill/>
              </a:ln>
              <a:effectLst/>
            </c:spPr>
            <c:extLst>
              <c:ext xmlns:c16="http://schemas.microsoft.com/office/drawing/2014/chart" uri="{C3380CC4-5D6E-409C-BE32-E72D297353CC}">
                <c16:uniqueId val="{00000003-C1B5-49D5-89F3-7C54F6BE7DFE}"/>
              </c:ext>
            </c:extLst>
          </c:dPt>
          <c:val>
            <c:numRef>
              <c:f>Data_Analysis!$P$15:$P$16</c:f>
              <c:numCache>
                <c:formatCode>0.00%</c:formatCode>
                <c:ptCount val="2"/>
                <c:pt idx="0">
                  <c:v>0</c:v>
                </c:pt>
                <c:pt idx="1">
                  <c:v>0</c:v>
                </c:pt>
              </c:numCache>
            </c:numRef>
          </c:val>
          <c:extLst>
            <c:ext xmlns:c16="http://schemas.microsoft.com/office/drawing/2014/chart" uri="{C3380CC4-5D6E-409C-BE32-E72D297353CC}">
              <c16:uniqueId val="{00000004-C1B5-49D5-89F3-7C54F6BE7DF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a:solidFill>
                  <a:schemeClr val="bg1"/>
                </a:solidFill>
              </a:rPr>
              <a:t>Equipment</a:t>
            </a:r>
            <a:r>
              <a:rPr lang="en-US" sz="1000" baseline="0">
                <a:solidFill>
                  <a:schemeClr val="bg1"/>
                </a:solidFill>
              </a:rPr>
              <a:t> vs Vehicle vs Facility Cost</a:t>
            </a:r>
            <a:endParaRPr lang="en-US" sz="1000">
              <a:solidFill>
                <a:schemeClr val="bg1"/>
              </a:solidFill>
            </a:endParaRPr>
          </a:p>
        </c:rich>
      </c:tx>
      <c:layout>
        <c:manualLayout>
          <c:xMode val="edge"/>
          <c:yMode val="edge"/>
          <c:x val="1.304855643044619E-2"/>
          <c:y val="2.66453503863575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NG"/>
        </a:p>
      </c:txPr>
    </c:title>
    <c:autoTitleDeleted val="0"/>
    <c:plotArea>
      <c:layout/>
      <c:lineChart>
        <c:grouping val="standard"/>
        <c:varyColors val="0"/>
        <c:ser>
          <c:idx val="0"/>
          <c:order val="0"/>
          <c:tx>
            <c:strRef>
              <c:f>Data_Analysis!$C$98</c:f>
              <c:strCache>
                <c:ptCount val="1"/>
                <c:pt idx="0">
                  <c:v>EQUIPMENT</c:v>
                </c:pt>
              </c:strCache>
            </c:strRef>
          </c:tx>
          <c:spPr>
            <a:ln w="28575" cap="rnd">
              <a:solidFill>
                <a:schemeClr val="accent1"/>
              </a:solidFill>
              <a:round/>
            </a:ln>
            <a:effectLst/>
          </c:spPr>
          <c:marker>
            <c:symbol val="none"/>
          </c:marker>
          <c:cat>
            <c:strRef>
              <c:f>Data_Analysis!$B$99:$B$109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Data_Analysis!$C$99:$C$109</c:f>
              <c:numCache>
                <c:formatCode>_(* #,##0.00_);_(* \(#,##0.00\);_(* "-"??_);_(@_)</c:formatCode>
                <c:ptCount val="11"/>
                <c:pt idx="0">
                  <c:v>1300707</c:v>
                </c:pt>
                <c:pt idx="1">
                  <c:v>206555.9</c:v>
                </c:pt>
                <c:pt idx="2">
                  <c:v>162000</c:v>
                </c:pt>
                <c:pt idx="3">
                  <c:v>0</c:v>
                </c:pt>
                <c:pt idx="4">
                  <c:v>17000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0-F34D-46E7-AB7F-4B80B231B646}"/>
            </c:ext>
          </c:extLst>
        </c:ser>
        <c:ser>
          <c:idx val="1"/>
          <c:order val="1"/>
          <c:tx>
            <c:strRef>
              <c:f>Data_Analysis!$D$98</c:f>
              <c:strCache>
                <c:ptCount val="1"/>
                <c:pt idx="0">
                  <c:v> VEHICLE</c:v>
                </c:pt>
              </c:strCache>
            </c:strRef>
          </c:tx>
          <c:spPr>
            <a:ln w="28575" cap="rnd">
              <a:solidFill>
                <a:schemeClr val="accent2"/>
              </a:solidFill>
              <a:round/>
            </a:ln>
            <a:effectLst/>
          </c:spPr>
          <c:marker>
            <c:symbol val="none"/>
          </c:marker>
          <c:cat>
            <c:strRef>
              <c:f>Data_Analysis!$B$99:$B$109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Data_Analysis!$D$99:$D$109</c:f>
              <c:numCache>
                <c:formatCode>_(* #,##0.00_);_(* \(#,##0.00\);_(* "-"??_);_(@_)</c:formatCode>
                <c:ptCount val="11"/>
                <c:pt idx="0">
                  <c:v>0</c:v>
                </c:pt>
                <c:pt idx="1">
                  <c:v>0</c:v>
                </c:pt>
                <c:pt idx="2">
                  <c:v>0</c:v>
                </c:pt>
                <c:pt idx="3">
                  <c:v>0</c:v>
                </c:pt>
                <c:pt idx="4">
                  <c:v>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F34D-46E7-AB7F-4B80B231B646}"/>
            </c:ext>
          </c:extLst>
        </c:ser>
        <c:ser>
          <c:idx val="2"/>
          <c:order val="2"/>
          <c:tx>
            <c:strRef>
              <c:f>Data_Analysis!$E$98</c:f>
              <c:strCache>
                <c:ptCount val="1"/>
                <c:pt idx="0">
                  <c:v>FACILITY</c:v>
                </c:pt>
              </c:strCache>
            </c:strRef>
          </c:tx>
          <c:spPr>
            <a:ln w="28575" cap="rnd">
              <a:solidFill>
                <a:schemeClr val="accent3"/>
              </a:solidFill>
              <a:round/>
            </a:ln>
            <a:effectLst/>
          </c:spPr>
          <c:marker>
            <c:symbol val="none"/>
          </c:marker>
          <c:cat>
            <c:strRef>
              <c:f>Data_Analysis!$B$99:$B$109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Data_Analysis!$E$99:$E$109</c:f>
              <c:numCache>
                <c:formatCode>_(* #,##0.00_);_(* \(#,##0.00\);_(* "-"??_);_(@_)</c:formatCode>
                <c:ptCount val="11"/>
                <c:pt idx="0">
                  <c:v>0</c:v>
                </c:pt>
                <c:pt idx="1">
                  <c:v>0</c:v>
                </c:pt>
                <c:pt idx="2">
                  <c:v>0</c:v>
                </c:pt>
                <c:pt idx="3">
                  <c:v>0</c:v>
                </c:pt>
                <c:pt idx="4">
                  <c:v>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2-F34D-46E7-AB7F-4B80B231B646}"/>
            </c:ext>
          </c:extLst>
        </c:ser>
        <c:dLbls>
          <c:showLegendKey val="0"/>
          <c:showVal val="0"/>
          <c:showCatName val="0"/>
          <c:showSerName val="0"/>
          <c:showPercent val="0"/>
          <c:showBubbleSize val="0"/>
        </c:dLbls>
        <c:smooth val="0"/>
        <c:axId val="1812916671"/>
        <c:axId val="1707751999"/>
      </c:lineChart>
      <c:catAx>
        <c:axId val="1812916671"/>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707751999"/>
        <c:crosses val="max"/>
        <c:auto val="1"/>
        <c:lblAlgn val="ctr"/>
        <c:lblOffset val="100"/>
        <c:noMultiLvlLbl val="0"/>
      </c:catAx>
      <c:valAx>
        <c:axId val="1707751999"/>
        <c:scaling>
          <c:orientation val="minMax"/>
        </c:scaling>
        <c:delete val="0"/>
        <c:axPos val="l"/>
        <c:majorGridlines>
          <c:spPr>
            <a:ln w="9525" cap="flat" cmpd="sng" algn="ctr">
              <a:noFill/>
              <a:round/>
            </a:ln>
            <a:effectLst/>
          </c:spPr>
        </c:majorGridlines>
        <c:numFmt formatCode="_(* #,##0.00_);_(* \(#,##0.00\);_(* &quot;-&quot;??_);_(@_)" sourceLinked="1"/>
        <c:majorTickMark val="none"/>
        <c:minorTickMark val="none"/>
        <c:tickLblPos val="nextTo"/>
        <c:spPr>
          <a:noFill/>
          <a:ln>
            <a:solidFill>
              <a:srgbClr xmlns:mc="http://schemas.openxmlformats.org/markup-compatibility/2006" xmlns:a14="http://schemas.microsoft.com/office/drawing/2010/main" val="000000" mc:Ignorable="a14" a14:legacySpreadsheetColorIndex="64"/>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1291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bg2">
                  <a:lumMod val="25000"/>
                  <a:alpha val="94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lumMod val="25000"/>
                    <a:alpha val="94000"/>
                  </a:schemeClr>
                </a:solidFill>
              </a:ln>
              <a:effectLst/>
            </c:spPr>
            <c:extLst>
              <c:ext xmlns:c16="http://schemas.microsoft.com/office/drawing/2014/chart" uri="{C3380CC4-5D6E-409C-BE32-E72D297353CC}">
                <c16:uniqueId val="{00000001-6064-4E2B-83D7-26054547C9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bg2">
                    <a:lumMod val="25000"/>
                    <a:alpha val="94000"/>
                  </a:schemeClr>
                </a:solidFill>
              </a:ln>
              <a:effectLst/>
            </c:spPr>
            <c:extLst>
              <c:ext xmlns:c16="http://schemas.microsoft.com/office/drawing/2014/chart" uri="{C3380CC4-5D6E-409C-BE32-E72D297353CC}">
                <c16:uniqueId val="{00000003-6064-4E2B-83D7-26054547C91C}"/>
              </c:ext>
            </c:extLst>
          </c:dPt>
          <c:val>
            <c:numRef>
              <c:f>Data_Analysis!$G$9:$G$10</c:f>
              <c:numCache>
                <c:formatCode>0.00%</c:formatCode>
                <c:ptCount val="2"/>
                <c:pt idx="0">
                  <c:v>7.9807840165373983E-2</c:v>
                </c:pt>
                <c:pt idx="1">
                  <c:v>0.92019215983462599</c:v>
                </c:pt>
              </c:numCache>
            </c:numRef>
          </c:val>
          <c:extLst>
            <c:ext xmlns:c16="http://schemas.microsoft.com/office/drawing/2014/chart" uri="{C3380CC4-5D6E-409C-BE32-E72D297353CC}">
              <c16:uniqueId val="{00000004-6064-4E2B-83D7-26054547C91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99803149606302"/>
          <c:y val="6.4814814814814811E-2"/>
          <c:w val="0.77144641294838145"/>
          <c:h val="0.8416746864975212"/>
        </c:manualLayout>
      </c:layout>
      <c:barChart>
        <c:barDir val="col"/>
        <c:grouping val="clustered"/>
        <c:varyColors val="0"/>
        <c:ser>
          <c:idx val="0"/>
          <c:order val="0"/>
          <c:tx>
            <c:strRef>
              <c:f>Data_Analysis!$B$114</c:f>
              <c:strCache>
                <c:ptCount val="1"/>
                <c:pt idx="0">
                  <c:v>COST</c:v>
                </c:pt>
              </c:strCache>
            </c:strRef>
          </c:tx>
          <c:spPr>
            <a:solidFill>
              <a:schemeClr val="accent1"/>
            </a:solidFill>
            <a:ln>
              <a:noFill/>
            </a:ln>
            <a:effectLst/>
          </c:spPr>
          <c:invertIfNegative val="0"/>
          <c:cat>
            <c:strRef>
              <c:f>Data_Analysis!$A$115:$A$126</c:f>
              <c:strCache>
                <c:ptCount val="12"/>
                <c:pt idx="0">
                  <c:v>2023 DEC</c:v>
                </c:pt>
                <c:pt idx="1">
                  <c:v>Jan</c:v>
                </c:pt>
                <c:pt idx="2">
                  <c:v>Feb</c:v>
                </c:pt>
                <c:pt idx="3">
                  <c:v>Mar</c:v>
                </c:pt>
                <c:pt idx="4">
                  <c:v>Apr</c:v>
                </c:pt>
                <c:pt idx="5">
                  <c:v>May</c:v>
                </c:pt>
                <c:pt idx="6">
                  <c:v>Jun</c:v>
                </c:pt>
                <c:pt idx="7">
                  <c:v>Jul</c:v>
                </c:pt>
                <c:pt idx="8">
                  <c:v>Aug</c:v>
                </c:pt>
                <c:pt idx="9">
                  <c:v>Sep</c:v>
                </c:pt>
                <c:pt idx="10">
                  <c:v>Oct</c:v>
                </c:pt>
                <c:pt idx="11">
                  <c:v>Nov</c:v>
                </c:pt>
              </c:strCache>
            </c:strRef>
          </c:cat>
          <c:val>
            <c:numRef>
              <c:f>Data_Analysis!$B$115:$B$126</c:f>
              <c:numCache>
                <c:formatCode>#0.00,,"M"</c:formatCode>
                <c:ptCount val="12"/>
                <c:pt idx="0" formatCode="#0.0,&quot;K&quot;">
                  <c:v>532114.25</c:v>
                </c:pt>
                <c:pt idx="1">
                  <c:v>1300707</c:v>
                </c:pt>
                <c:pt idx="2">
                  <c:v>206555.9</c:v>
                </c:pt>
                <c:pt idx="3">
                  <c:v>162000</c:v>
                </c:pt>
                <c:pt idx="4">
                  <c:v>0</c:v>
                </c:pt>
                <c:pt idx="5" formatCode="_(* #,##0.00_);_(* \(#,##0.00\);_(* &quot;-&quot;??_);_(@_)">
                  <c:v>17000</c:v>
                </c:pt>
                <c:pt idx="6" formatCode="_(* #,##0.00_);_(* \(#,##0.00\);_(* &quot;-&quot;??_);_(@_)">
                  <c:v>0</c:v>
                </c:pt>
                <c:pt idx="7" formatCode="_(* #,##0.00_);_(* \(#,##0.00\);_(* &quot;-&quot;??_);_(@_)">
                  <c:v>0</c:v>
                </c:pt>
                <c:pt idx="8" formatCode="_(* #,##0.00_);_(* \(#,##0.00\);_(* &quot;-&quot;??_);_(@_)">
                  <c:v>0</c:v>
                </c:pt>
                <c:pt idx="9" formatCode="_(* #,##0.00_);_(* \(#,##0.00\);_(* &quot;-&quot;??_);_(@_)">
                  <c:v>0</c:v>
                </c:pt>
                <c:pt idx="10" formatCode="_(* #,##0.00_);_(* \(#,##0.00\);_(* &quot;-&quot;??_);_(@_)">
                  <c:v>0</c:v>
                </c:pt>
                <c:pt idx="11" formatCode="_(* #,##0.00_);_(* \(#,##0.00\);_(* &quot;-&quot;??_);_(@_)">
                  <c:v>0</c:v>
                </c:pt>
              </c:numCache>
            </c:numRef>
          </c:val>
          <c:extLst>
            <c:ext xmlns:c16="http://schemas.microsoft.com/office/drawing/2014/chart" uri="{C3380CC4-5D6E-409C-BE32-E72D297353CC}">
              <c16:uniqueId val="{00000000-512A-4E3A-859B-612F978956FE}"/>
            </c:ext>
          </c:extLst>
        </c:ser>
        <c:dLbls>
          <c:showLegendKey val="0"/>
          <c:showVal val="0"/>
          <c:showCatName val="0"/>
          <c:showSerName val="0"/>
          <c:showPercent val="0"/>
          <c:showBubbleSize val="0"/>
        </c:dLbls>
        <c:gapWidth val="129"/>
        <c:overlap val="21"/>
        <c:axId val="1420312016"/>
        <c:axId val="1420309616"/>
      </c:barChart>
      <c:scatterChart>
        <c:scatterStyle val="lineMarker"/>
        <c:varyColors val="0"/>
        <c:ser>
          <c:idx val="1"/>
          <c:order val="1"/>
          <c:tx>
            <c:strRef>
              <c:f>Data_Analysis!$F$114</c:f>
              <c:strCache>
                <c:ptCount val="1"/>
                <c:pt idx="0">
                  <c:v>INCREASE</c:v>
                </c:pt>
              </c:strCache>
            </c:strRef>
          </c:tx>
          <c:spPr>
            <a:ln w="25400" cap="rnd">
              <a:noFill/>
              <a:round/>
            </a:ln>
            <a:effectLst/>
          </c:spPr>
          <c:marker>
            <c:symbol val="circle"/>
            <c:size val="5"/>
            <c:spPr>
              <a:noFill/>
              <a:ln w="9525">
                <a:noFill/>
              </a:ln>
              <a:effectLst/>
            </c:spPr>
          </c:marker>
          <c:dLbls>
            <c:dLbl>
              <c:idx val="0"/>
              <c:tx>
                <c:rich>
                  <a:bodyPr/>
                  <a:lstStyle/>
                  <a:p>
                    <a:fld id="{BD5C9EA5-EC6B-4D40-A2B4-E37BBBD38431}"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12A-4E3A-859B-612F978956FE}"/>
                </c:ext>
              </c:extLst>
            </c:dLbl>
            <c:dLbl>
              <c:idx val="1"/>
              <c:tx>
                <c:rich>
                  <a:bodyPr/>
                  <a:lstStyle/>
                  <a:p>
                    <a:endParaRPr lang="en-NG"/>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512A-4E3A-859B-612F978956FE}"/>
                </c:ext>
              </c:extLst>
            </c:dLbl>
            <c:dLbl>
              <c:idx val="2"/>
              <c:tx>
                <c:rich>
                  <a:bodyPr/>
                  <a:lstStyle/>
                  <a:p>
                    <a:endParaRPr lang="en-NG"/>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512A-4E3A-859B-612F978956FE}"/>
                </c:ext>
              </c:extLst>
            </c:dLbl>
            <c:dLbl>
              <c:idx val="3"/>
              <c:tx>
                <c:rich>
                  <a:bodyPr/>
                  <a:lstStyle/>
                  <a:p>
                    <a:endParaRPr lang="en-NG"/>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12A-4E3A-859B-612F978956FE}"/>
                </c:ext>
              </c:extLst>
            </c:dLbl>
            <c:dLbl>
              <c:idx val="4"/>
              <c:tx>
                <c:rich>
                  <a:bodyPr/>
                  <a:lstStyle/>
                  <a:p>
                    <a:fld id="{6EE6670B-FF7A-4289-BB77-B9856EA373B3}"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94F-48FD-BD53-AF1CDFC25F39}"/>
                </c:ext>
              </c:extLst>
            </c:dLbl>
            <c:dLbl>
              <c:idx val="5"/>
              <c:tx>
                <c:rich>
                  <a:bodyPr/>
                  <a:lstStyle/>
                  <a:p>
                    <a:fld id="{51F8307B-11CC-4584-9538-CEA0105F0110}"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6F-48FF-BAD7-0E8AF929C238}"/>
                </c:ext>
              </c:extLst>
            </c:dLbl>
            <c:dLbl>
              <c:idx val="6"/>
              <c:tx>
                <c:rich>
                  <a:bodyPr/>
                  <a:lstStyle/>
                  <a:p>
                    <a:fld id="{0F7D5FD1-23E7-4BF9-A8A0-BCA933E62BC1}"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507-4F9E-955B-A6043D48C7E8}"/>
                </c:ext>
              </c:extLst>
            </c:dLbl>
            <c:dLbl>
              <c:idx val="7"/>
              <c:tx>
                <c:rich>
                  <a:bodyPr/>
                  <a:lstStyle/>
                  <a:p>
                    <a:fld id="{42C606ED-E53A-4D30-BC04-4F043FC50C81}"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507-4F9E-955B-A6043D48C7E8}"/>
                </c:ext>
              </c:extLst>
            </c:dLbl>
            <c:dLbl>
              <c:idx val="8"/>
              <c:tx>
                <c:rich>
                  <a:bodyPr/>
                  <a:lstStyle/>
                  <a:p>
                    <a:fld id="{B42FBBA4-957E-4DCB-B72F-03E5D0B837F9}"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460-477D-8A31-16E0656FCC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NG"/>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1</c:v>
                </c:pt>
              </c:numLit>
            </c:plus>
            <c:minus>
              <c:numRef>
                <c:f>Data_Analysis!$C$115:$C$122</c:f>
                <c:numCache>
                  <c:formatCode>General</c:formatCode>
                  <c:ptCount val="8"/>
                  <c:pt idx="0">
                    <c:v>768592.75</c:v>
                  </c:pt>
                  <c:pt idx="1">
                    <c:v>-1094151.1000000001</c:v>
                  </c:pt>
                  <c:pt idx="2">
                    <c:v>-44555.899999999994</c:v>
                  </c:pt>
                  <c:pt idx="3">
                    <c:v>-162000</c:v>
                  </c:pt>
                  <c:pt idx="4">
                    <c:v>17000</c:v>
                  </c:pt>
                  <c:pt idx="5">
                    <c:v>0</c:v>
                  </c:pt>
                  <c:pt idx="6">
                    <c:v>0</c:v>
                  </c:pt>
                  <c:pt idx="7">
                    <c:v>0</c:v>
                  </c:pt>
                </c:numCache>
              </c:numRef>
            </c:minus>
            <c:spPr>
              <a:noFill/>
              <a:ln w="9525" cap="flat" cmpd="sng" algn="ctr">
                <a:solidFill>
                  <a:srgbClr val="00B050"/>
                </a:solidFill>
                <a:round/>
                <a:headEnd type="triangle"/>
              </a:ln>
              <a:effectLst/>
            </c:spPr>
          </c:errBars>
          <c:xVal>
            <c:numRef>
              <c:f>Data_Analysis!$E$115:$E$123</c:f>
              <c:numCache>
                <c:formatCode>General</c:formatCode>
                <c:ptCount val="9"/>
                <c:pt idx="0">
                  <c:v>1.5</c:v>
                </c:pt>
                <c:pt idx="1">
                  <c:v>2.5</c:v>
                </c:pt>
                <c:pt idx="2">
                  <c:v>3.5</c:v>
                </c:pt>
                <c:pt idx="3">
                  <c:v>4.5</c:v>
                </c:pt>
                <c:pt idx="4">
                  <c:v>5.5</c:v>
                </c:pt>
                <c:pt idx="5">
                  <c:v>6.5</c:v>
                </c:pt>
                <c:pt idx="6">
                  <c:v>7.5</c:v>
                </c:pt>
                <c:pt idx="7">
                  <c:v>8.5</c:v>
                </c:pt>
                <c:pt idx="8">
                  <c:v>9.5</c:v>
                </c:pt>
              </c:numCache>
            </c:numRef>
          </c:xVal>
          <c:yVal>
            <c:numRef>
              <c:f>Data_Analysis!$F$115:$F$123</c:f>
              <c:numCache>
                <c:formatCode>_(* #,##0.00_);_(* \(#,##0.00\);_(* "-"??_);_(@_)</c:formatCode>
                <c:ptCount val="9"/>
                <c:pt idx="0" formatCode="General">
                  <c:v>1300707</c:v>
                </c:pt>
                <c:pt idx="1">
                  <c:v>#N/A</c:v>
                </c:pt>
                <c:pt idx="2" formatCode="General">
                  <c:v>#N/A</c:v>
                </c:pt>
                <c:pt idx="3">
                  <c:v>#N/A</c:v>
                </c:pt>
                <c:pt idx="4">
                  <c:v>17000</c:v>
                </c:pt>
                <c:pt idx="5">
                  <c:v>0</c:v>
                </c:pt>
                <c:pt idx="6">
                  <c:v>0</c:v>
                </c:pt>
                <c:pt idx="7">
                  <c:v>0</c:v>
                </c:pt>
                <c:pt idx="8">
                  <c:v>0</c:v>
                </c:pt>
              </c:numCache>
            </c:numRef>
          </c:yVal>
          <c:smooth val="0"/>
          <c:extLst>
            <c:ext xmlns:c15="http://schemas.microsoft.com/office/drawing/2012/chart" uri="{02D57815-91ED-43cb-92C2-25804820EDAC}">
              <c15:datalabelsRange>
                <c15:f>Data_Analysis!$D$115:$D$123</c15:f>
                <c15:dlblRangeCache>
                  <c:ptCount val="9"/>
                  <c:pt idx="0">
                    <c:v>144%</c:v>
                  </c:pt>
                  <c:pt idx="1">
                    <c:v>-84%</c:v>
                  </c:pt>
                  <c:pt idx="2">
                    <c:v>-22%</c:v>
                  </c:pt>
                  <c:pt idx="3">
                    <c:v>-100%</c:v>
                  </c:pt>
                  <c:pt idx="4">
                    <c:v>#DIV/0!</c:v>
                  </c:pt>
                  <c:pt idx="5">
                    <c:v>#REF!</c:v>
                  </c:pt>
                  <c:pt idx="6">
                    <c:v>#REF!</c:v>
                  </c:pt>
                  <c:pt idx="7">
                    <c:v>#REF!</c:v>
                  </c:pt>
                  <c:pt idx="8">
                    <c:v>#REF!</c:v>
                  </c:pt>
                </c15:dlblRangeCache>
              </c15:datalabelsRange>
            </c:ext>
            <c:ext xmlns:c16="http://schemas.microsoft.com/office/drawing/2014/chart" uri="{C3380CC4-5D6E-409C-BE32-E72D297353CC}">
              <c16:uniqueId val="{00000005-512A-4E3A-859B-612F978956FE}"/>
            </c:ext>
          </c:extLst>
        </c:ser>
        <c:ser>
          <c:idx val="2"/>
          <c:order val="2"/>
          <c:tx>
            <c:strRef>
              <c:f>Data_Analysis!$G$114</c:f>
              <c:strCache>
                <c:ptCount val="1"/>
                <c:pt idx="0">
                  <c:v>DECREASE</c:v>
                </c:pt>
              </c:strCache>
            </c:strRef>
          </c:tx>
          <c:spPr>
            <a:ln w="25400" cap="rnd">
              <a:noFill/>
              <a:round/>
            </a:ln>
            <a:effectLst/>
          </c:spPr>
          <c:marker>
            <c:symbol val="circle"/>
            <c:size val="5"/>
            <c:spPr>
              <a:noFill/>
              <a:ln w="9525">
                <a:noFill/>
              </a:ln>
              <a:effectLst/>
            </c:spPr>
          </c:marker>
          <c:dLbls>
            <c:dLbl>
              <c:idx val="0"/>
              <c:tx>
                <c:rich>
                  <a:bodyPr/>
                  <a:lstStyle/>
                  <a:p>
                    <a:endParaRPr lang="en-NG"/>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12A-4E3A-859B-612F978956FE}"/>
                </c:ext>
              </c:extLst>
            </c:dLbl>
            <c:dLbl>
              <c:idx val="1"/>
              <c:tx>
                <c:rich>
                  <a:bodyPr/>
                  <a:lstStyle/>
                  <a:p>
                    <a:fld id="{E7A42DC5-7BA6-4B7E-92F3-CEE1058629CC}"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12A-4E3A-859B-612F978956FE}"/>
                </c:ext>
              </c:extLst>
            </c:dLbl>
            <c:dLbl>
              <c:idx val="2"/>
              <c:tx>
                <c:rich>
                  <a:bodyPr/>
                  <a:lstStyle/>
                  <a:p>
                    <a:fld id="{6BC822F1-3B62-4BDC-B2C1-88A858D48FC9}"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12A-4E3A-859B-612F978956FE}"/>
                </c:ext>
              </c:extLst>
            </c:dLbl>
            <c:dLbl>
              <c:idx val="3"/>
              <c:tx>
                <c:rich>
                  <a:bodyPr/>
                  <a:lstStyle/>
                  <a:p>
                    <a:fld id="{96C9D7D8-57C6-41AF-B58B-D0B5556AEA55}"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12A-4E3A-859B-612F978956FE}"/>
                </c:ext>
              </c:extLst>
            </c:dLbl>
            <c:dLbl>
              <c:idx val="4"/>
              <c:tx>
                <c:rich>
                  <a:bodyPr/>
                  <a:lstStyle/>
                  <a:p>
                    <a:endParaRPr lang="en-NG"/>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94F-48FD-BD53-AF1CDFC25F39}"/>
                </c:ext>
              </c:extLst>
            </c:dLbl>
            <c:dLbl>
              <c:idx val="5"/>
              <c:tx>
                <c:rich>
                  <a:bodyPr/>
                  <a:lstStyle/>
                  <a:p>
                    <a:fld id="{65AA6F31-16D2-45D1-8C0A-073BBB655F58}"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26F-48FF-BAD7-0E8AF929C238}"/>
                </c:ext>
              </c:extLst>
            </c:dLbl>
            <c:dLbl>
              <c:idx val="6"/>
              <c:tx>
                <c:rich>
                  <a:bodyPr/>
                  <a:lstStyle/>
                  <a:p>
                    <a:fld id="{59E3BE70-21C5-4A2E-922F-63EC29541416}"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507-4F9E-955B-A6043D48C7E8}"/>
                </c:ext>
              </c:extLst>
            </c:dLbl>
            <c:dLbl>
              <c:idx val="7"/>
              <c:tx>
                <c:rich>
                  <a:bodyPr/>
                  <a:lstStyle/>
                  <a:p>
                    <a:fld id="{A59551D6-D7FD-4ECD-AD96-BEE80B1625FC}"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507-4F9E-955B-A6043D48C7E8}"/>
                </c:ext>
              </c:extLst>
            </c:dLbl>
            <c:dLbl>
              <c:idx val="8"/>
              <c:tx>
                <c:rich>
                  <a:bodyPr/>
                  <a:lstStyle/>
                  <a:p>
                    <a:fld id="{692023FB-0CF2-4238-9968-D4C849558751}"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460-477D-8A31-16E0656FCC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NG"/>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1</c:v>
                </c:pt>
              </c:numLit>
            </c:plus>
            <c:minus>
              <c:numRef>
                <c:f>Data_Analysis!$C$115:$C$123</c:f>
                <c:numCache>
                  <c:formatCode>General</c:formatCode>
                  <c:ptCount val="9"/>
                  <c:pt idx="0">
                    <c:v>768592.75</c:v>
                  </c:pt>
                  <c:pt idx="1">
                    <c:v>-1094151.1000000001</c:v>
                  </c:pt>
                  <c:pt idx="2">
                    <c:v>-44555.899999999994</c:v>
                  </c:pt>
                  <c:pt idx="3">
                    <c:v>-162000</c:v>
                  </c:pt>
                  <c:pt idx="4">
                    <c:v>17000</c:v>
                  </c:pt>
                  <c:pt idx="5">
                    <c:v>0</c:v>
                  </c:pt>
                  <c:pt idx="6">
                    <c:v>0</c:v>
                  </c:pt>
                  <c:pt idx="7">
                    <c:v>0</c:v>
                  </c:pt>
                  <c:pt idx="8">
                    <c:v>0</c:v>
                  </c:pt>
                </c:numCache>
              </c:numRef>
            </c:minus>
            <c:spPr>
              <a:noFill/>
              <a:ln w="9525" cap="flat" cmpd="sng" algn="ctr">
                <a:solidFill>
                  <a:srgbClr val="FF0000"/>
                </a:solidFill>
                <a:round/>
                <a:headEnd type="triangle"/>
              </a:ln>
              <a:effectLst/>
            </c:spPr>
          </c:errBars>
          <c:xVal>
            <c:numRef>
              <c:f>Data_Analysis!$E$115:$E$123</c:f>
              <c:numCache>
                <c:formatCode>General</c:formatCode>
                <c:ptCount val="9"/>
                <c:pt idx="0">
                  <c:v>1.5</c:v>
                </c:pt>
                <c:pt idx="1">
                  <c:v>2.5</c:v>
                </c:pt>
                <c:pt idx="2">
                  <c:v>3.5</c:v>
                </c:pt>
                <c:pt idx="3">
                  <c:v>4.5</c:v>
                </c:pt>
                <c:pt idx="4">
                  <c:v>5.5</c:v>
                </c:pt>
                <c:pt idx="5">
                  <c:v>6.5</c:v>
                </c:pt>
                <c:pt idx="6">
                  <c:v>7.5</c:v>
                </c:pt>
                <c:pt idx="7">
                  <c:v>8.5</c:v>
                </c:pt>
                <c:pt idx="8">
                  <c:v>9.5</c:v>
                </c:pt>
              </c:numCache>
            </c:numRef>
          </c:xVal>
          <c:yVal>
            <c:numRef>
              <c:f>Data_Analysis!$G$115:$G$123</c:f>
              <c:numCache>
                <c:formatCode>_(* #,##0.00_);_(* \(#,##0.00\);_(* "-"??_);_(@_)</c:formatCode>
                <c:ptCount val="9"/>
                <c:pt idx="0">
                  <c:v>#N/A</c:v>
                </c:pt>
                <c:pt idx="1">
                  <c:v>206555.9</c:v>
                </c:pt>
                <c:pt idx="2">
                  <c:v>162000</c:v>
                </c:pt>
                <c:pt idx="3">
                  <c:v>0</c:v>
                </c:pt>
                <c:pt idx="4">
                  <c:v>#N/A</c:v>
                </c:pt>
                <c:pt idx="5">
                  <c:v>0</c:v>
                </c:pt>
                <c:pt idx="6">
                  <c:v>0</c:v>
                </c:pt>
                <c:pt idx="7">
                  <c:v>0</c:v>
                </c:pt>
                <c:pt idx="8">
                  <c:v>0</c:v>
                </c:pt>
              </c:numCache>
            </c:numRef>
          </c:yVal>
          <c:smooth val="0"/>
          <c:extLst>
            <c:ext xmlns:c15="http://schemas.microsoft.com/office/drawing/2012/chart" uri="{02D57815-91ED-43cb-92C2-25804820EDAC}">
              <c15:datalabelsRange>
                <c15:f>Data_Analysis!$D$115:$D$123</c15:f>
                <c15:dlblRangeCache>
                  <c:ptCount val="9"/>
                  <c:pt idx="0">
                    <c:v>144%</c:v>
                  </c:pt>
                  <c:pt idx="1">
                    <c:v>-84%</c:v>
                  </c:pt>
                  <c:pt idx="2">
                    <c:v>-22%</c:v>
                  </c:pt>
                  <c:pt idx="3">
                    <c:v>-100%</c:v>
                  </c:pt>
                  <c:pt idx="4">
                    <c:v>#DIV/0!</c:v>
                  </c:pt>
                  <c:pt idx="5">
                    <c:v>#REF!</c:v>
                  </c:pt>
                  <c:pt idx="6">
                    <c:v>#REF!</c:v>
                  </c:pt>
                  <c:pt idx="7">
                    <c:v>#REF!</c:v>
                  </c:pt>
                  <c:pt idx="8">
                    <c:v>#REF!</c:v>
                  </c:pt>
                </c15:dlblRangeCache>
              </c15:datalabelsRange>
            </c:ext>
            <c:ext xmlns:c16="http://schemas.microsoft.com/office/drawing/2014/chart" uri="{C3380CC4-5D6E-409C-BE32-E72D297353CC}">
              <c16:uniqueId val="{0000000A-512A-4E3A-859B-612F978956FE}"/>
            </c:ext>
          </c:extLst>
        </c:ser>
        <c:dLbls>
          <c:showLegendKey val="0"/>
          <c:showVal val="0"/>
          <c:showCatName val="0"/>
          <c:showSerName val="0"/>
          <c:showPercent val="0"/>
          <c:showBubbleSize val="0"/>
        </c:dLbls>
        <c:axId val="1420312016"/>
        <c:axId val="1420309616"/>
      </c:scatterChart>
      <c:catAx>
        <c:axId val="1420312016"/>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0309616"/>
        <c:crosses val="autoZero"/>
        <c:auto val="1"/>
        <c:lblAlgn val="ctr"/>
        <c:lblOffset val="100"/>
        <c:noMultiLvlLbl val="0"/>
      </c:catAx>
      <c:valAx>
        <c:axId val="142030961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031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tx>
            <c:strRef>
              <c:f>Data_Analysis!$B$132</c:f>
              <c:strCache>
                <c:ptCount val="1"/>
                <c:pt idx="0">
                  <c:v>COST</c:v>
                </c:pt>
              </c:strCache>
            </c:strRef>
          </c:tx>
          <c:spPr>
            <a:solidFill>
              <a:schemeClr val="accent1"/>
            </a:solidFill>
            <a:ln>
              <a:noFill/>
            </a:ln>
            <a:effectLst/>
          </c:spPr>
          <c:invertIfNegative val="0"/>
          <c:cat>
            <c:strRef>
              <c:f>Data_Analysis!$A$133:$A$144</c:f>
              <c:strCache>
                <c:ptCount val="12"/>
                <c:pt idx="0">
                  <c:v>2023 DEC</c:v>
                </c:pt>
                <c:pt idx="1">
                  <c:v>Jan</c:v>
                </c:pt>
                <c:pt idx="2">
                  <c:v>Feb</c:v>
                </c:pt>
                <c:pt idx="3">
                  <c:v>Mar</c:v>
                </c:pt>
                <c:pt idx="4">
                  <c:v>Apr</c:v>
                </c:pt>
                <c:pt idx="5">
                  <c:v>May</c:v>
                </c:pt>
                <c:pt idx="6">
                  <c:v>Jun</c:v>
                </c:pt>
                <c:pt idx="7">
                  <c:v>Jul</c:v>
                </c:pt>
                <c:pt idx="8">
                  <c:v>Aug</c:v>
                </c:pt>
                <c:pt idx="9">
                  <c:v>Sep</c:v>
                </c:pt>
                <c:pt idx="10">
                  <c:v>Oct</c:v>
                </c:pt>
                <c:pt idx="11">
                  <c:v>Nov</c:v>
                </c:pt>
              </c:strCache>
            </c:strRef>
          </c:cat>
          <c:val>
            <c:numRef>
              <c:f>Data_Analysis!$B$133:$B$144</c:f>
              <c:numCache>
                <c:formatCode>_(* #,##0.00_);_(* \(#,##0.00\);_(* "-"??_);_(@_)</c:formatCode>
                <c:ptCount val="12"/>
                <c:pt idx="0">
                  <c:v>5384269</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D03-4DC6-849E-78FF8CCF786D}"/>
            </c:ext>
          </c:extLst>
        </c:ser>
        <c:dLbls>
          <c:showLegendKey val="0"/>
          <c:showVal val="0"/>
          <c:showCatName val="0"/>
          <c:showSerName val="0"/>
          <c:showPercent val="0"/>
          <c:showBubbleSize val="0"/>
        </c:dLbls>
        <c:gapWidth val="219"/>
        <c:axId val="1988204751"/>
        <c:axId val="1555275647"/>
      </c:barChart>
      <c:scatterChart>
        <c:scatterStyle val="lineMarker"/>
        <c:varyColors val="0"/>
        <c:ser>
          <c:idx val="1"/>
          <c:order val="1"/>
          <c:tx>
            <c:strRef>
              <c:f>Data_Analysis!$F$132</c:f>
              <c:strCache>
                <c:ptCount val="1"/>
                <c:pt idx="0">
                  <c:v>INCREASE</c:v>
                </c:pt>
              </c:strCache>
            </c:strRef>
          </c:tx>
          <c:spPr>
            <a:ln w="25400" cap="rnd">
              <a:noFill/>
              <a:round/>
            </a:ln>
            <a:effectLst/>
          </c:spPr>
          <c:marker>
            <c:symbol val="circle"/>
            <c:size val="5"/>
            <c:spPr>
              <a:noFill/>
              <a:ln w="9525">
                <a:noFill/>
              </a:ln>
              <a:effectLst/>
            </c:spPr>
          </c:marker>
          <c:dLbls>
            <c:dLbl>
              <c:idx val="0"/>
              <c:tx>
                <c:rich>
                  <a:bodyPr/>
                  <a:lstStyle/>
                  <a:p>
                    <a:fld id="{FF87D4B3-260E-4D02-818C-7E5E585B811F}"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D03-4DC6-849E-78FF8CCF786D}"/>
                </c:ext>
              </c:extLst>
            </c:dLbl>
            <c:dLbl>
              <c:idx val="1"/>
              <c:tx>
                <c:rich>
                  <a:bodyPr/>
                  <a:lstStyle/>
                  <a:p>
                    <a:fld id="{F36D63C1-C44A-4D63-BA2F-196353749B1B}"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D03-4DC6-849E-78FF8CCF786D}"/>
                </c:ext>
              </c:extLst>
            </c:dLbl>
            <c:dLbl>
              <c:idx val="2"/>
              <c:tx>
                <c:rich>
                  <a:bodyPr/>
                  <a:lstStyle/>
                  <a:p>
                    <a:fld id="{06FCB3B0-C8F0-4F05-A353-782EB2E74C7D}"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D03-4DC6-849E-78FF8CCF786D}"/>
                </c:ext>
              </c:extLst>
            </c:dLbl>
            <c:dLbl>
              <c:idx val="3"/>
              <c:tx>
                <c:rich>
                  <a:bodyPr/>
                  <a:lstStyle/>
                  <a:p>
                    <a:fld id="{E67E690F-26CC-4323-82D6-A36A25E567C6}"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D03-4DC6-849E-78FF8CCF786D}"/>
                </c:ext>
              </c:extLst>
            </c:dLbl>
            <c:dLbl>
              <c:idx val="4"/>
              <c:tx>
                <c:rich>
                  <a:bodyPr/>
                  <a:lstStyle/>
                  <a:p>
                    <a:fld id="{983B3D20-8674-499E-A7B7-18DA522486DE}"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0E3-4562-8471-37F448A13BB9}"/>
                </c:ext>
              </c:extLst>
            </c:dLbl>
            <c:dLbl>
              <c:idx val="5"/>
              <c:tx>
                <c:rich>
                  <a:bodyPr/>
                  <a:lstStyle/>
                  <a:p>
                    <a:fld id="{2382DBFE-EF9E-44E0-B04A-4CBA584EC95E}"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CF5-4528-9D91-429DD1E8E0CE}"/>
                </c:ext>
              </c:extLst>
            </c:dLbl>
            <c:dLbl>
              <c:idx val="6"/>
              <c:tx>
                <c:rich>
                  <a:bodyPr/>
                  <a:lstStyle/>
                  <a:p>
                    <a:fld id="{C5E05F58-4ACD-43CB-AE52-5F9EE2BF8314}"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569-4361-A2A4-F843A5493B22}"/>
                </c:ext>
              </c:extLst>
            </c:dLbl>
            <c:dLbl>
              <c:idx val="7"/>
              <c:tx>
                <c:rich>
                  <a:bodyPr/>
                  <a:lstStyle/>
                  <a:p>
                    <a:fld id="{E39BA4A7-CF45-44A5-AB7E-99D7044EF77C}"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569-4361-A2A4-F843A5493B22}"/>
                </c:ext>
              </c:extLst>
            </c:dLbl>
            <c:dLbl>
              <c:idx val="8"/>
              <c:tx>
                <c:rich>
                  <a:bodyPr/>
                  <a:lstStyle/>
                  <a:p>
                    <a:fld id="{86E793A4-3001-4ADF-A96F-BF85A7261B81}"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C18-407B-8D49-9FD7FA4FFE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NG"/>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1</c:v>
                </c:pt>
              </c:numLit>
            </c:plus>
            <c:minus>
              <c:numRef>
                <c:f>Data_Analysis!$C$133:$C$140</c:f>
                <c:numCache>
                  <c:formatCode>General</c:formatCode>
                  <c:ptCount val="8"/>
                  <c:pt idx="0">
                    <c:v>0</c:v>
                  </c:pt>
                  <c:pt idx="1">
                    <c:v>0</c:v>
                  </c:pt>
                  <c:pt idx="2">
                    <c:v>0</c:v>
                  </c:pt>
                  <c:pt idx="3">
                    <c:v>0</c:v>
                  </c:pt>
                  <c:pt idx="4">
                    <c:v>0</c:v>
                  </c:pt>
                  <c:pt idx="5">
                    <c:v>0</c:v>
                  </c:pt>
                  <c:pt idx="6">
                    <c:v>0</c:v>
                  </c:pt>
                  <c:pt idx="7">
                    <c:v>0</c:v>
                  </c:pt>
                </c:numCache>
              </c:numRef>
            </c:minus>
            <c:spPr>
              <a:noFill/>
              <a:ln w="15875" cap="flat" cmpd="sng" algn="ctr">
                <a:solidFill>
                  <a:srgbClr val="92D050"/>
                </a:solidFill>
                <a:round/>
                <a:headEnd type="triangle"/>
              </a:ln>
              <a:effectLst/>
            </c:spPr>
          </c:errBars>
          <c:xVal>
            <c:numRef>
              <c:f>Data_Analysis!$E$133:$E$141</c:f>
              <c:numCache>
                <c:formatCode>General</c:formatCode>
                <c:ptCount val="9"/>
                <c:pt idx="0">
                  <c:v>1.5</c:v>
                </c:pt>
                <c:pt idx="1">
                  <c:v>2.5</c:v>
                </c:pt>
                <c:pt idx="2">
                  <c:v>3.5</c:v>
                </c:pt>
                <c:pt idx="3">
                  <c:v>4.5</c:v>
                </c:pt>
                <c:pt idx="4">
                  <c:v>5.5</c:v>
                </c:pt>
                <c:pt idx="5">
                  <c:v>6.5</c:v>
                </c:pt>
                <c:pt idx="6">
                  <c:v>7.5</c:v>
                </c:pt>
                <c:pt idx="7">
                  <c:v>8.5</c:v>
                </c:pt>
                <c:pt idx="8">
                  <c:v>9.5</c:v>
                </c:pt>
              </c:numCache>
            </c:numRef>
          </c:xVal>
          <c:yVal>
            <c:numRef>
              <c:f>Data_Analysis!$F$133:$F$141</c:f>
              <c:numCache>
                <c:formatCode>_(* #,##0.00_);_(* \(#,##0.00\);_(* "-"??_);_(@_)</c:formatCode>
                <c:ptCount val="9"/>
                <c:pt idx="0" formatCode="General">
                  <c:v>0</c:v>
                </c:pt>
                <c:pt idx="1">
                  <c:v>0</c:v>
                </c:pt>
                <c:pt idx="2" formatCode="General">
                  <c:v>0</c:v>
                </c:pt>
                <c:pt idx="3">
                  <c:v>0</c:v>
                </c:pt>
                <c:pt idx="4">
                  <c:v>0</c:v>
                </c:pt>
                <c:pt idx="5">
                  <c:v>0</c:v>
                </c:pt>
                <c:pt idx="6">
                  <c:v>0</c:v>
                </c:pt>
                <c:pt idx="7">
                  <c:v>0</c:v>
                </c:pt>
                <c:pt idx="8">
                  <c:v>0</c:v>
                </c:pt>
              </c:numCache>
            </c:numRef>
          </c:yVal>
          <c:smooth val="0"/>
          <c:extLst>
            <c:ext xmlns:c15="http://schemas.microsoft.com/office/drawing/2012/chart" uri="{02D57815-91ED-43cb-92C2-25804820EDAC}">
              <c15:datalabelsRange>
                <c15:f>Data_Analysis!$D$133:$D$141</c15:f>
                <c15:dlblRangeCache>
                  <c:ptCount val="9"/>
                  <c:pt idx="0">
                    <c:v>#REF!</c:v>
                  </c:pt>
                  <c:pt idx="1">
                    <c:v>#REF!</c:v>
                  </c:pt>
                  <c:pt idx="2">
                    <c:v>#REF!</c:v>
                  </c:pt>
                  <c:pt idx="3">
                    <c:v>#REF!</c:v>
                  </c:pt>
                  <c:pt idx="4">
                    <c:v>#REF!</c:v>
                  </c:pt>
                  <c:pt idx="5">
                    <c:v>#REF!</c:v>
                  </c:pt>
                  <c:pt idx="6">
                    <c:v>#REF!</c:v>
                  </c:pt>
                  <c:pt idx="7">
                    <c:v>#REF!</c:v>
                  </c:pt>
                  <c:pt idx="8">
                    <c:v>#REF!</c:v>
                  </c:pt>
                </c15:dlblRangeCache>
              </c15:datalabelsRange>
            </c:ext>
            <c:ext xmlns:c16="http://schemas.microsoft.com/office/drawing/2014/chart" uri="{C3380CC4-5D6E-409C-BE32-E72D297353CC}">
              <c16:uniqueId val="{00000005-ED03-4DC6-849E-78FF8CCF786D}"/>
            </c:ext>
          </c:extLst>
        </c:ser>
        <c:ser>
          <c:idx val="2"/>
          <c:order val="2"/>
          <c:tx>
            <c:strRef>
              <c:f>Data_Analysis!$G$132</c:f>
              <c:strCache>
                <c:ptCount val="1"/>
                <c:pt idx="0">
                  <c:v>DECREASE</c:v>
                </c:pt>
              </c:strCache>
            </c:strRef>
          </c:tx>
          <c:spPr>
            <a:ln w="25400" cap="rnd">
              <a:noFill/>
              <a:round/>
            </a:ln>
            <a:effectLst/>
          </c:spPr>
          <c:marker>
            <c:symbol val="circle"/>
            <c:size val="5"/>
            <c:spPr>
              <a:noFill/>
              <a:ln w="9525">
                <a:noFill/>
              </a:ln>
              <a:effectLst/>
            </c:spPr>
          </c:marker>
          <c:dLbls>
            <c:dLbl>
              <c:idx val="0"/>
              <c:tx>
                <c:rich>
                  <a:bodyPr/>
                  <a:lstStyle/>
                  <a:p>
                    <a:fld id="{5BB76BE2-E0E9-42D5-BE5E-6293CE63E218}"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D03-4DC6-849E-78FF8CCF786D}"/>
                </c:ext>
              </c:extLst>
            </c:dLbl>
            <c:dLbl>
              <c:idx val="1"/>
              <c:tx>
                <c:rich>
                  <a:bodyPr/>
                  <a:lstStyle/>
                  <a:p>
                    <a:fld id="{1C72E295-F48D-4EF0-94FD-C38A2A5454EF}"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D03-4DC6-849E-78FF8CCF786D}"/>
                </c:ext>
              </c:extLst>
            </c:dLbl>
            <c:dLbl>
              <c:idx val="2"/>
              <c:tx>
                <c:rich>
                  <a:bodyPr/>
                  <a:lstStyle/>
                  <a:p>
                    <a:fld id="{EA4172AE-3FE9-4C79-910E-1DCE5BC3CA26}"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D03-4DC6-849E-78FF8CCF786D}"/>
                </c:ext>
              </c:extLst>
            </c:dLbl>
            <c:dLbl>
              <c:idx val="3"/>
              <c:tx>
                <c:rich>
                  <a:bodyPr/>
                  <a:lstStyle/>
                  <a:p>
                    <a:fld id="{D5CCE1CE-D2D4-474E-9DF5-4A5849A6A2B1}"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D03-4DC6-849E-78FF8CCF786D}"/>
                </c:ext>
              </c:extLst>
            </c:dLbl>
            <c:dLbl>
              <c:idx val="4"/>
              <c:tx>
                <c:rich>
                  <a:bodyPr/>
                  <a:lstStyle/>
                  <a:p>
                    <a:fld id="{0E9B0C80-DB75-42AE-9038-BD68DD3E9D13}"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0E3-4562-8471-37F448A13BB9}"/>
                </c:ext>
              </c:extLst>
            </c:dLbl>
            <c:dLbl>
              <c:idx val="5"/>
              <c:tx>
                <c:rich>
                  <a:bodyPr/>
                  <a:lstStyle/>
                  <a:p>
                    <a:fld id="{B05725B1-A2F6-40B2-8CED-F91734464D0D}"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CF5-4528-9D91-429DD1E8E0CE}"/>
                </c:ext>
              </c:extLst>
            </c:dLbl>
            <c:dLbl>
              <c:idx val="6"/>
              <c:tx>
                <c:rich>
                  <a:bodyPr/>
                  <a:lstStyle/>
                  <a:p>
                    <a:fld id="{479A1C2B-06B0-44A8-BB51-9172291BF109}"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569-4361-A2A4-F843A5493B22}"/>
                </c:ext>
              </c:extLst>
            </c:dLbl>
            <c:dLbl>
              <c:idx val="7"/>
              <c:tx>
                <c:rich>
                  <a:bodyPr/>
                  <a:lstStyle/>
                  <a:p>
                    <a:fld id="{A853F69C-3FA7-44F9-9969-7B1B42C2A28D}"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569-4361-A2A4-F843A5493B22}"/>
                </c:ext>
              </c:extLst>
            </c:dLbl>
            <c:dLbl>
              <c:idx val="8"/>
              <c:tx>
                <c:rich>
                  <a:bodyPr/>
                  <a:lstStyle/>
                  <a:p>
                    <a:fld id="{3BD66FF2-E411-4303-AA5C-023EA36D0952}"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C18-407B-8D49-9FD7FA4FFE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NG"/>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1</c:v>
                </c:pt>
              </c:numLit>
            </c:plus>
            <c:minus>
              <c:numRef>
                <c:f>Data_Analysis!$C$133:$C$141</c:f>
                <c:numCache>
                  <c:formatCode>General</c:formatCode>
                  <c:ptCount val="9"/>
                  <c:pt idx="0">
                    <c:v>0</c:v>
                  </c:pt>
                  <c:pt idx="1">
                    <c:v>0</c:v>
                  </c:pt>
                  <c:pt idx="2">
                    <c:v>0</c:v>
                  </c:pt>
                  <c:pt idx="3">
                    <c:v>0</c:v>
                  </c:pt>
                  <c:pt idx="4">
                    <c:v>0</c:v>
                  </c:pt>
                  <c:pt idx="5">
                    <c:v>0</c:v>
                  </c:pt>
                  <c:pt idx="6">
                    <c:v>0</c:v>
                  </c:pt>
                  <c:pt idx="7">
                    <c:v>0</c:v>
                  </c:pt>
                  <c:pt idx="8">
                    <c:v>0</c:v>
                  </c:pt>
                </c:numCache>
              </c:numRef>
            </c:minus>
            <c:spPr>
              <a:noFill/>
              <a:ln w="9525" cap="flat" cmpd="sng" algn="ctr">
                <a:solidFill>
                  <a:srgbClr val="FF0000"/>
                </a:solidFill>
                <a:round/>
                <a:headEnd type="triangle"/>
              </a:ln>
              <a:effectLst/>
            </c:spPr>
          </c:errBars>
          <c:xVal>
            <c:numRef>
              <c:f>Data_Analysis!$E$133:$E$141</c:f>
              <c:numCache>
                <c:formatCode>General</c:formatCode>
                <c:ptCount val="9"/>
                <c:pt idx="0">
                  <c:v>1.5</c:v>
                </c:pt>
                <c:pt idx="1">
                  <c:v>2.5</c:v>
                </c:pt>
                <c:pt idx="2">
                  <c:v>3.5</c:v>
                </c:pt>
                <c:pt idx="3">
                  <c:v>4.5</c:v>
                </c:pt>
                <c:pt idx="4">
                  <c:v>5.5</c:v>
                </c:pt>
                <c:pt idx="5">
                  <c:v>6.5</c:v>
                </c:pt>
                <c:pt idx="6">
                  <c:v>7.5</c:v>
                </c:pt>
                <c:pt idx="7">
                  <c:v>8.5</c:v>
                </c:pt>
                <c:pt idx="8">
                  <c:v>9.5</c:v>
                </c:pt>
              </c:numCache>
            </c:numRef>
          </c:xVal>
          <c:yVal>
            <c:numRef>
              <c:f>Data_Analysis!$G$133:$G$141</c:f>
              <c:numCache>
                <c:formatCode>_(* #,##0.00_);_(* \(#,##0.00\);_(* "-"??_);_(@_)</c:formatCode>
                <c:ptCount val="9"/>
                <c:pt idx="0">
                  <c:v>0</c:v>
                </c:pt>
                <c:pt idx="1">
                  <c:v>0</c:v>
                </c:pt>
                <c:pt idx="2">
                  <c:v>0</c:v>
                </c:pt>
                <c:pt idx="3">
                  <c:v>0</c:v>
                </c:pt>
                <c:pt idx="4">
                  <c:v>0</c:v>
                </c:pt>
                <c:pt idx="5">
                  <c:v>0</c:v>
                </c:pt>
                <c:pt idx="6">
                  <c:v>0</c:v>
                </c:pt>
                <c:pt idx="7">
                  <c:v>0</c:v>
                </c:pt>
                <c:pt idx="8">
                  <c:v>0</c:v>
                </c:pt>
              </c:numCache>
            </c:numRef>
          </c:yVal>
          <c:smooth val="0"/>
          <c:extLst>
            <c:ext xmlns:c15="http://schemas.microsoft.com/office/drawing/2012/chart" uri="{02D57815-91ED-43cb-92C2-25804820EDAC}">
              <c15:datalabelsRange>
                <c15:f>Data_Analysis!$D$133:$D$141</c15:f>
                <c15:dlblRangeCache>
                  <c:ptCount val="9"/>
                  <c:pt idx="0">
                    <c:v>#REF!</c:v>
                  </c:pt>
                  <c:pt idx="1">
                    <c:v>#REF!</c:v>
                  </c:pt>
                  <c:pt idx="2">
                    <c:v>#REF!</c:v>
                  </c:pt>
                  <c:pt idx="3">
                    <c:v>#REF!</c:v>
                  </c:pt>
                  <c:pt idx="4">
                    <c:v>#REF!</c:v>
                  </c:pt>
                  <c:pt idx="5">
                    <c:v>#REF!</c:v>
                  </c:pt>
                  <c:pt idx="6">
                    <c:v>#REF!</c:v>
                  </c:pt>
                  <c:pt idx="7">
                    <c:v>#REF!</c:v>
                  </c:pt>
                  <c:pt idx="8">
                    <c:v>#REF!</c:v>
                  </c:pt>
                </c15:dlblRangeCache>
              </c15:datalabelsRange>
            </c:ext>
            <c:ext xmlns:c16="http://schemas.microsoft.com/office/drawing/2014/chart" uri="{C3380CC4-5D6E-409C-BE32-E72D297353CC}">
              <c16:uniqueId val="{0000000A-ED03-4DC6-849E-78FF8CCF786D}"/>
            </c:ext>
          </c:extLst>
        </c:ser>
        <c:dLbls>
          <c:showLegendKey val="0"/>
          <c:showVal val="0"/>
          <c:showCatName val="0"/>
          <c:showSerName val="0"/>
          <c:showPercent val="0"/>
          <c:showBubbleSize val="0"/>
        </c:dLbls>
        <c:axId val="1988204751"/>
        <c:axId val="1555275647"/>
      </c:scatterChart>
      <c:catAx>
        <c:axId val="1988204751"/>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5275647"/>
        <c:crosses val="autoZero"/>
        <c:auto val="1"/>
        <c:lblAlgn val="ctr"/>
        <c:lblOffset val="100"/>
        <c:noMultiLvlLbl val="0"/>
      </c:catAx>
      <c:valAx>
        <c:axId val="155527564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820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Data_Analysis!$B$151</c:f>
              <c:strCache>
                <c:ptCount val="1"/>
                <c:pt idx="0">
                  <c:v>COST</c:v>
                </c:pt>
              </c:strCache>
            </c:strRef>
          </c:tx>
          <c:spPr>
            <a:solidFill>
              <a:schemeClr val="accent1"/>
            </a:solidFill>
            <a:ln>
              <a:noFill/>
            </a:ln>
            <a:effectLst/>
          </c:spPr>
          <c:invertIfNegative val="0"/>
          <c:errBars>
            <c:errBarType val="both"/>
            <c:errValType val="cust"/>
            <c:noEndCap val="0"/>
            <c:plus>
              <c:numLit>
                <c:formatCode>General</c:formatCode>
                <c:ptCount val="1"/>
                <c:pt idx="0">
                  <c:v>1</c:v>
                </c:pt>
              </c:numLit>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Data_Analysis!$A$152:$A$163</c:f>
              <c:strCache>
                <c:ptCount val="12"/>
                <c:pt idx="0">
                  <c:v>2023 DEC</c:v>
                </c:pt>
                <c:pt idx="1">
                  <c:v>Jan</c:v>
                </c:pt>
                <c:pt idx="2">
                  <c:v>Feb</c:v>
                </c:pt>
                <c:pt idx="3">
                  <c:v>Mar</c:v>
                </c:pt>
                <c:pt idx="4">
                  <c:v>Apr</c:v>
                </c:pt>
                <c:pt idx="5">
                  <c:v>May</c:v>
                </c:pt>
                <c:pt idx="6">
                  <c:v>Jun</c:v>
                </c:pt>
                <c:pt idx="7">
                  <c:v>Jul</c:v>
                </c:pt>
                <c:pt idx="8">
                  <c:v>Aug</c:v>
                </c:pt>
                <c:pt idx="9">
                  <c:v>Sep</c:v>
                </c:pt>
                <c:pt idx="10">
                  <c:v>Oct</c:v>
                </c:pt>
                <c:pt idx="11">
                  <c:v>Nov</c:v>
                </c:pt>
              </c:strCache>
            </c:strRef>
          </c:cat>
          <c:val>
            <c:numRef>
              <c:f>Data_Analysis!$B$152:$B$163</c:f>
              <c:numCache>
                <c:formatCode>_(* #,##0.00_);_(* \(#,##0.00\);_(* "-"??_);_(@_)</c:formatCode>
                <c:ptCount val="12"/>
                <c:pt idx="0">
                  <c:v>532114.25</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FE1-4E43-AF9A-0EE58C7D2450}"/>
            </c:ext>
          </c:extLst>
        </c:ser>
        <c:dLbls>
          <c:showLegendKey val="0"/>
          <c:showVal val="0"/>
          <c:showCatName val="0"/>
          <c:showSerName val="0"/>
          <c:showPercent val="0"/>
          <c:showBubbleSize val="0"/>
        </c:dLbls>
        <c:gapWidth val="219"/>
        <c:axId val="1871491103"/>
        <c:axId val="1555297727"/>
      </c:barChart>
      <c:scatterChart>
        <c:scatterStyle val="lineMarker"/>
        <c:varyColors val="0"/>
        <c:ser>
          <c:idx val="1"/>
          <c:order val="1"/>
          <c:tx>
            <c:strRef>
              <c:f>Data_Analysis!$F$151</c:f>
              <c:strCache>
                <c:ptCount val="1"/>
                <c:pt idx="0">
                  <c:v>INCREASE</c:v>
                </c:pt>
              </c:strCache>
            </c:strRef>
          </c:tx>
          <c:spPr>
            <a:ln w="25400" cap="rnd">
              <a:noFill/>
              <a:round/>
            </a:ln>
            <a:effectLst/>
          </c:spPr>
          <c:marker>
            <c:symbol val="circle"/>
            <c:size val="5"/>
            <c:spPr>
              <a:noFill/>
              <a:ln w="9525">
                <a:noFill/>
              </a:ln>
              <a:effectLst/>
            </c:spPr>
          </c:marker>
          <c:dLbls>
            <c:dLbl>
              <c:idx val="0"/>
              <c:tx>
                <c:rich>
                  <a:bodyPr/>
                  <a:lstStyle/>
                  <a:p>
                    <a:fld id="{4ABB83C0-4295-4900-92C6-C9D49359A3DF}"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902-4D8E-AC7D-7A40519A3959}"/>
                </c:ext>
              </c:extLst>
            </c:dLbl>
            <c:dLbl>
              <c:idx val="1"/>
              <c:tx>
                <c:rich>
                  <a:bodyPr/>
                  <a:lstStyle/>
                  <a:p>
                    <a:fld id="{451E1FBA-4637-4429-9A34-EB78F8D060AF}"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902-4D8E-AC7D-7A40519A3959}"/>
                </c:ext>
              </c:extLst>
            </c:dLbl>
            <c:dLbl>
              <c:idx val="2"/>
              <c:tx>
                <c:rich>
                  <a:bodyPr/>
                  <a:lstStyle/>
                  <a:p>
                    <a:fld id="{E96149D1-EE22-4BD0-864C-CB537174249B}"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902-4D8E-AC7D-7A40519A3959}"/>
                </c:ext>
              </c:extLst>
            </c:dLbl>
            <c:dLbl>
              <c:idx val="3"/>
              <c:tx>
                <c:rich>
                  <a:bodyPr/>
                  <a:lstStyle/>
                  <a:p>
                    <a:fld id="{5EA678BE-15FF-449C-B8D0-1A32335489FB}"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902-4D8E-AC7D-7A40519A3959}"/>
                </c:ext>
              </c:extLst>
            </c:dLbl>
            <c:dLbl>
              <c:idx val="4"/>
              <c:tx>
                <c:rich>
                  <a:bodyPr/>
                  <a:lstStyle/>
                  <a:p>
                    <a:fld id="{6DF7D098-72E2-469E-90C8-74ADB2F484FD}"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3DF-4579-B103-F1F4A44E3F32}"/>
                </c:ext>
              </c:extLst>
            </c:dLbl>
            <c:dLbl>
              <c:idx val="5"/>
              <c:tx>
                <c:rich>
                  <a:bodyPr/>
                  <a:lstStyle/>
                  <a:p>
                    <a:fld id="{21D55131-60EB-43DE-9EC9-35AC1C8B2093}"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1DC-48AB-B7F5-987224463682}"/>
                </c:ext>
              </c:extLst>
            </c:dLbl>
            <c:dLbl>
              <c:idx val="6"/>
              <c:tx>
                <c:rich>
                  <a:bodyPr/>
                  <a:lstStyle/>
                  <a:p>
                    <a:fld id="{36985E3D-7F4C-4E61-A208-EE25ABCA5FB5}"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0ED-414B-A643-5AA81CA056D0}"/>
                </c:ext>
              </c:extLst>
            </c:dLbl>
            <c:dLbl>
              <c:idx val="7"/>
              <c:tx>
                <c:rich>
                  <a:bodyPr/>
                  <a:lstStyle/>
                  <a:p>
                    <a:fld id="{3D024EE9-D8D4-47FF-971D-CD8AF7918B9E}"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0ED-414B-A643-5AA81CA056D0}"/>
                </c:ext>
              </c:extLst>
            </c:dLbl>
            <c:dLbl>
              <c:idx val="8"/>
              <c:tx>
                <c:rich>
                  <a:bodyPr/>
                  <a:lstStyle/>
                  <a:p>
                    <a:fld id="{F67CF4EA-9087-4D50-B20E-0476F5D05FBA}"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AB2-4DF1-927F-B00CF56678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NG"/>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1</c:v>
                </c:pt>
              </c:numLit>
            </c:plus>
            <c:minus>
              <c:numRef>
                <c:f>Data_Analysis!$C$152:$C$159</c:f>
                <c:numCache>
                  <c:formatCode>General</c:formatCode>
                  <c:ptCount val="8"/>
                  <c:pt idx="0">
                    <c:v>0</c:v>
                  </c:pt>
                  <c:pt idx="1">
                    <c:v>0</c:v>
                  </c:pt>
                  <c:pt idx="2">
                    <c:v>0</c:v>
                  </c:pt>
                  <c:pt idx="3">
                    <c:v>0</c:v>
                  </c:pt>
                  <c:pt idx="4">
                    <c:v>0</c:v>
                  </c:pt>
                  <c:pt idx="5">
                    <c:v>0</c:v>
                  </c:pt>
                  <c:pt idx="6">
                    <c:v>0</c:v>
                  </c:pt>
                  <c:pt idx="7">
                    <c:v>0</c:v>
                  </c:pt>
                </c:numCache>
              </c:numRef>
            </c:minus>
            <c:spPr>
              <a:noFill/>
              <a:ln w="9525" cap="flat" cmpd="sng" algn="ctr">
                <a:solidFill>
                  <a:srgbClr val="00B050"/>
                </a:solidFill>
                <a:round/>
                <a:headEnd type="triangle"/>
              </a:ln>
              <a:effectLst/>
            </c:spPr>
          </c:errBars>
          <c:xVal>
            <c:numRef>
              <c:f>Data_Analysis!$E$152:$E$160</c:f>
              <c:numCache>
                <c:formatCode>General</c:formatCode>
                <c:ptCount val="9"/>
                <c:pt idx="0">
                  <c:v>1.5</c:v>
                </c:pt>
                <c:pt idx="1">
                  <c:v>2.5</c:v>
                </c:pt>
                <c:pt idx="2">
                  <c:v>3.5</c:v>
                </c:pt>
                <c:pt idx="3">
                  <c:v>4.5</c:v>
                </c:pt>
                <c:pt idx="4">
                  <c:v>5.5</c:v>
                </c:pt>
                <c:pt idx="5">
                  <c:v>6.5</c:v>
                </c:pt>
                <c:pt idx="6">
                  <c:v>7.5</c:v>
                </c:pt>
                <c:pt idx="7">
                  <c:v>8.5</c:v>
                </c:pt>
                <c:pt idx="8">
                  <c:v>9.5</c:v>
                </c:pt>
              </c:numCache>
            </c:numRef>
          </c:xVal>
          <c:yVal>
            <c:numRef>
              <c:f>Data_Analysis!$F$152:$F$160</c:f>
              <c:numCache>
                <c:formatCode>_(* #,##0.00_);_(* \(#,##0.00\);_(* "-"??_);_(@_)</c:formatCode>
                <c:ptCount val="9"/>
                <c:pt idx="0" formatCode="General">
                  <c:v>0</c:v>
                </c:pt>
                <c:pt idx="1">
                  <c:v>0</c:v>
                </c:pt>
                <c:pt idx="2" formatCode="General">
                  <c:v>0</c:v>
                </c:pt>
                <c:pt idx="3">
                  <c:v>0</c:v>
                </c:pt>
                <c:pt idx="4">
                  <c:v>0</c:v>
                </c:pt>
                <c:pt idx="5">
                  <c:v>0</c:v>
                </c:pt>
                <c:pt idx="6">
                  <c:v>0</c:v>
                </c:pt>
                <c:pt idx="7">
                  <c:v>0</c:v>
                </c:pt>
                <c:pt idx="8">
                  <c:v>0</c:v>
                </c:pt>
              </c:numCache>
            </c:numRef>
          </c:yVal>
          <c:smooth val="0"/>
          <c:extLst>
            <c:ext xmlns:c15="http://schemas.microsoft.com/office/drawing/2012/chart" uri="{02D57815-91ED-43cb-92C2-25804820EDAC}">
              <c15:datalabelsRange>
                <c15:f>Data_Analysis!$D$152:$D$160</c15:f>
                <c15:dlblRangeCache>
                  <c:ptCount val="9"/>
                  <c:pt idx="0">
                    <c:v>#REF!</c:v>
                  </c:pt>
                  <c:pt idx="1">
                    <c:v>#REF!</c:v>
                  </c:pt>
                  <c:pt idx="2">
                    <c:v>#REF!</c:v>
                  </c:pt>
                  <c:pt idx="3">
                    <c:v>#REF!</c:v>
                  </c:pt>
                  <c:pt idx="4">
                    <c:v>#REF!</c:v>
                  </c:pt>
                  <c:pt idx="5">
                    <c:v>#REF!</c:v>
                  </c:pt>
                  <c:pt idx="6">
                    <c:v>#REF!</c:v>
                  </c:pt>
                  <c:pt idx="7">
                    <c:v>#REF!</c:v>
                  </c:pt>
                  <c:pt idx="8">
                    <c:v>#REF!</c:v>
                  </c:pt>
                </c15:dlblRangeCache>
              </c15:datalabelsRange>
            </c:ext>
            <c:ext xmlns:c16="http://schemas.microsoft.com/office/drawing/2014/chart" uri="{C3380CC4-5D6E-409C-BE32-E72D297353CC}">
              <c16:uniqueId val="{00000001-FFE1-4E43-AF9A-0EE58C7D2450}"/>
            </c:ext>
          </c:extLst>
        </c:ser>
        <c:ser>
          <c:idx val="2"/>
          <c:order val="2"/>
          <c:tx>
            <c:strRef>
              <c:f>Data_Analysis!$G$151</c:f>
              <c:strCache>
                <c:ptCount val="1"/>
                <c:pt idx="0">
                  <c:v>DECREASE</c:v>
                </c:pt>
              </c:strCache>
            </c:strRef>
          </c:tx>
          <c:spPr>
            <a:ln w="25400" cap="rnd">
              <a:noFill/>
              <a:round/>
            </a:ln>
            <a:effectLst/>
          </c:spPr>
          <c:marker>
            <c:symbol val="circle"/>
            <c:size val="5"/>
            <c:spPr>
              <a:noFill/>
              <a:ln w="9525">
                <a:noFill/>
              </a:ln>
              <a:effectLst/>
            </c:spPr>
          </c:marker>
          <c:dLbls>
            <c:dLbl>
              <c:idx val="0"/>
              <c:tx>
                <c:rich>
                  <a:bodyPr/>
                  <a:lstStyle/>
                  <a:p>
                    <a:fld id="{38211824-DE30-4618-AAF7-5B3D642D96DB}"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FE1-4E43-AF9A-0EE58C7D2450}"/>
                </c:ext>
              </c:extLst>
            </c:dLbl>
            <c:dLbl>
              <c:idx val="1"/>
              <c:tx>
                <c:rich>
                  <a:bodyPr/>
                  <a:lstStyle/>
                  <a:p>
                    <a:fld id="{3AF2F05F-70B2-4C13-9FB5-40933F19A99E}"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FE1-4E43-AF9A-0EE58C7D2450}"/>
                </c:ext>
              </c:extLst>
            </c:dLbl>
            <c:dLbl>
              <c:idx val="2"/>
              <c:tx>
                <c:rich>
                  <a:bodyPr/>
                  <a:lstStyle/>
                  <a:p>
                    <a:fld id="{5DAE36E3-630A-482E-81B8-C9E44CAD98AD}"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FE1-4E43-AF9A-0EE58C7D2450}"/>
                </c:ext>
              </c:extLst>
            </c:dLbl>
            <c:dLbl>
              <c:idx val="3"/>
              <c:tx>
                <c:rich>
                  <a:bodyPr/>
                  <a:lstStyle/>
                  <a:p>
                    <a:fld id="{716474D4-3428-4F9D-9E50-42E4DE05CB1E}"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FE1-4E43-AF9A-0EE58C7D2450}"/>
                </c:ext>
              </c:extLst>
            </c:dLbl>
            <c:dLbl>
              <c:idx val="4"/>
              <c:tx>
                <c:rich>
                  <a:bodyPr/>
                  <a:lstStyle/>
                  <a:p>
                    <a:fld id="{2114BFCD-C35B-44A1-9700-2B21AC0CD34A}"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3DF-4579-B103-F1F4A44E3F32}"/>
                </c:ext>
              </c:extLst>
            </c:dLbl>
            <c:dLbl>
              <c:idx val="5"/>
              <c:tx>
                <c:rich>
                  <a:bodyPr/>
                  <a:lstStyle/>
                  <a:p>
                    <a:fld id="{12CEEF80-B194-4A6B-9A36-9167C2C5CFE1}"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1DC-48AB-B7F5-987224463682}"/>
                </c:ext>
              </c:extLst>
            </c:dLbl>
            <c:dLbl>
              <c:idx val="6"/>
              <c:tx>
                <c:rich>
                  <a:bodyPr/>
                  <a:lstStyle/>
                  <a:p>
                    <a:fld id="{8199BD71-A2E6-445D-B9DF-E7589C32DDA2}"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0ED-414B-A643-5AA81CA056D0}"/>
                </c:ext>
              </c:extLst>
            </c:dLbl>
            <c:dLbl>
              <c:idx val="7"/>
              <c:tx>
                <c:rich>
                  <a:bodyPr/>
                  <a:lstStyle/>
                  <a:p>
                    <a:fld id="{C68B0402-5438-4CAB-90AC-E5932AA55759}"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0ED-414B-A643-5AA81CA056D0}"/>
                </c:ext>
              </c:extLst>
            </c:dLbl>
            <c:dLbl>
              <c:idx val="8"/>
              <c:tx>
                <c:rich>
                  <a:bodyPr/>
                  <a:lstStyle/>
                  <a:p>
                    <a:fld id="{35B84510-4C9B-409A-9A44-0CD4E0ADC539}" type="CELLRANGE">
                      <a:rPr lang="en-US"/>
                      <a:pPr/>
                      <a:t>[CELLRANGE]</a:t>
                    </a:fld>
                    <a:endParaRPr lang="en-N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AB2-4DF1-927F-B00CF56678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NG"/>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1</c:v>
                </c:pt>
              </c:numLit>
            </c:plus>
            <c:minus>
              <c:numRef>
                <c:f>Data_Analysis!$C$152:$C$160</c:f>
                <c:numCache>
                  <c:formatCode>General</c:formatCode>
                  <c:ptCount val="9"/>
                  <c:pt idx="0">
                    <c:v>0</c:v>
                  </c:pt>
                  <c:pt idx="1">
                    <c:v>0</c:v>
                  </c:pt>
                  <c:pt idx="2">
                    <c:v>0</c:v>
                  </c:pt>
                  <c:pt idx="3">
                    <c:v>0</c:v>
                  </c:pt>
                  <c:pt idx="4">
                    <c:v>0</c:v>
                  </c:pt>
                  <c:pt idx="5">
                    <c:v>0</c:v>
                  </c:pt>
                  <c:pt idx="6">
                    <c:v>0</c:v>
                  </c:pt>
                  <c:pt idx="7">
                    <c:v>0</c:v>
                  </c:pt>
                  <c:pt idx="8">
                    <c:v>0</c:v>
                  </c:pt>
                </c:numCache>
              </c:numRef>
            </c:minus>
            <c:spPr>
              <a:noFill/>
              <a:ln w="9525" cap="flat" cmpd="sng" algn="ctr">
                <a:solidFill>
                  <a:srgbClr val="FA3912"/>
                </a:solidFill>
                <a:round/>
                <a:headEnd type="triangle"/>
              </a:ln>
              <a:effectLst/>
            </c:spPr>
          </c:errBars>
          <c:xVal>
            <c:numRef>
              <c:f>Data_Analysis!$E$152:$E$160</c:f>
              <c:numCache>
                <c:formatCode>General</c:formatCode>
                <c:ptCount val="9"/>
                <c:pt idx="0">
                  <c:v>1.5</c:v>
                </c:pt>
                <c:pt idx="1">
                  <c:v>2.5</c:v>
                </c:pt>
                <c:pt idx="2">
                  <c:v>3.5</c:v>
                </c:pt>
                <c:pt idx="3">
                  <c:v>4.5</c:v>
                </c:pt>
                <c:pt idx="4">
                  <c:v>5.5</c:v>
                </c:pt>
                <c:pt idx="5">
                  <c:v>6.5</c:v>
                </c:pt>
                <c:pt idx="6">
                  <c:v>7.5</c:v>
                </c:pt>
                <c:pt idx="7">
                  <c:v>8.5</c:v>
                </c:pt>
                <c:pt idx="8">
                  <c:v>9.5</c:v>
                </c:pt>
              </c:numCache>
            </c:numRef>
          </c:xVal>
          <c:yVal>
            <c:numRef>
              <c:f>Data_Analysis!$G$152:$G$160</c:f>
              <c:numCache>
                <c:formatCode>_(* #,##0.00_);_(* \(#,##0.00\);_(* "-"??_);_(@_)</c:formatCode>
                <c:ptCount val="9"/>
                <c:pt idx="0">
                  <c:v>0</c:v>
                </c:pt>
                <c:pt idx="1">
                  <c:v>0</c:v>
                </c:pt>
                <c:pt idx="2">
                  <c:v>0</c:v>
                </c:pt>
                <c:pt idx="3">
                  <c:v>0</c:v>
                </c:pt>
                <c:pt idx="4">
                  <c:v>0</c:v>
                </c:pt>
                <c:pt idx="5">
                  <c:v>0</c:v>
                </c:pt>
                <c:pt idx="6">
                  <c:v>0</c:v>
                </c:pt>
                <c:pt idx="7">
                  <c:v>0</c:v>
                </c:pt>
                <c:pt idx="8">
                  <c:v>0</c:v>
                </c:pt>
              </c:numCache>
            </c:numRef>
          </c:yVal>
          <c:smooth val="0"/>
          <c:extLst>
            <c:ext xmlns:c15="http://schemas.microsoft.com/office/drawing/2012/chart" uri="{02D57815-91ED-43cb-92C2-25804820EDAC}">
              <c15:datalabelsRange>
                <c15:f>Data_Analysis!$D$152:$D$160</c15:f>
                <c15:dlblRangeCache>
                  <c:ptCount val="9"/>
                  <c:pt idx="0">
                    <c:v>#REF!</c:v>
                  </c:pt>
                  <c:pt idx="1">
                    <c:v>#REF!</c:v>
                  </c:pt>
                  <c:pt idx="2">
                    <c:v>#REF!</c:v>
                  </c:pt>
                  <c:pt idx="3">
                    <c:v>#REF!</c:v>
                  </c:pt>
                  <c:pt idx="4">
                    <c:v>#REF!</c:v>
                  </c:pt>
                  <c:pt idx="5">
                    <c:v>#REF!</c:v>
                  </c:pt>
                  <c:pt idx="6">
                    <c:v>#REF!</c:v>
                  </c:pt>
                  <c:pt idx="7">
                    <c:v>#REF!</c:v>
                  </c:pt>
                  <c:pt idx="8">
                    <c:v>#REF!</c:v>
                  </c:pt>
                </c15:dlblRangeCache>
              </c15:datalabelsRange>
            </c:ext>
            <c:ext xmlns:c16="http://schemas.microsoft.com/office/drawing/2014/chart" uri="{C3380CC4-5D6E-409C-BE32-E72D297353CC}">
              <c16:uniqueId val="{00000006-FFE1-4E43-AF9A-0EE58C7D2450}"/>
            </c:ext>
          </c:extLst>
        </c:ser>
        <c:dLbls>
          <c:showLegendKey val="0"/>
          <c:showVal val="0"/>
          <c:showCatName val="0"/>
          <c:showSerName val="0"/>
          <c:showPercent val="0"/>
          <c:showBubbleSize val="0"/>
        </c:dLbls>
        <c:axId val="1871491103"/>
        <c:axId val="1555297727"/>
      </c:scatterChart>
      <c:catAx>
        <c:axId val="1871491103"/>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5297727"/>
        <c:crosses val="autoZero"/>
        <c:auto val="1"/>
        <c:lblAlgn val="ctr"/>
        <c:lblOffset val="100"/>
        <c:noMultiLvlLbl val="0"/>
      </c:catAx>
      <c:valAx>
        <c:axId val="155529772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149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CFA5-45EE-B009-4916A8D9B3A9}"/>
              </c:ext>
            </c:extLst>
          </c:dPt>
          <c:dPt>
            <c:idx val="1"/>
            <c:bubble3D val="0"/>
            <c:spPr>
              <a:solidFill>
                <a:schemeClr val="accent2"/>
              </a:solidFill>
              <a:ln w="19050">
                <a:noFill/>
              </a:ln>
              <a:effectLst/>
            </c:spPr>
            <c:extLst>
              <c:ext xmlns:c16="http://schemas.microsoft.com/office/drawing/2014/chart" uri="{C3380CC4-5D6E-409C-BE32-E72D297353CC}">
                <c16:uniqueId val="{00000003-CFA5-45EE-B009-4916A8D9B3A9}"/>
              </c:ext>
            </c:extLst>
          </c:dPt>
          <c:val>
            <c:numRef>
              <c:f>Data_Analysis!$G$30:$G$31</c:f>
              <c:numCache>
                <c:formatCode>0.00%</c:formatCode>
                <c:ptCount val="2"/>
                <c:pt idx="0">
                  <c:v>0</c:v>
                </c:pt>
                <c:pt idx="1">
                  <c:v>0</c:v>
                </c:pt>
              </c:numCache>
            </c:numRef>
          </c:val>
          <c:extLst>
            <c:ext xmlns:c16="http://schemas.microsoft.com/office/drawing/2014/chart" uri="{C3380CC4-5D6E-409C-BE32-E72D297353CC}">
              <c16:uniqueId val="{00000004-CFA5-45EE-B009-4916A8D9B3A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0FE3-4E2C-A2BB-A1448B3E9C63}"/>
              </c:ext>
            </c:extLst>
          </c:dPt>
          <c:dPt>
            <c:idx val="1"/>
            <c:bubble3D val="0"/>
            <c:spPr>
              <a:solidFill>
                <a:schemeClr val="accent2"/>
              </a:solidFill>
              <a:ln w="19050">
                <a:noFill/>
              </a:ln>
              <a:effectLst/>
            </c:spPr>
            <c:extLst>
              <c:ext xmlns:c16="http://schemas.microsoft.com/office/drawing/2014/chart" uri="{C3380CC4-5D6E-409C-BE32-E72D297353CC}">
                <c16:uniqueId val="{00000003-0FE3-4E2C-A2BB-A1448B3E9C63}"/>
              </c:ext>
            </c:extLst>
          </c:dPt>
          <c:val>
            <c:numRef>
              <c:f>Data_Analysis!$G$33:$G$34</c:f>
              <c:numCache>
                <c:formatCode>0.00%</c:formatCode>
                <c:ptCount val="2"/>
                <c:pt idx="0">
                  <c:v>0</c:v>
                </c:pt>
                <c:pt idx="1">
                  <c:v>0</c:v>
                </c:pt>
              </c:numCache>
            </c:numRef>
          </c:val>
          <c:extLst>
            <c:ext xmlns:c16="http://schemas.microsoft.com/office/drawing/2014/chart" uri="{C3380CC4-5D6E-409C-BE32-E72D297353CC}">
              <c16:uniqueId val="{00000004-0FE3-4E2C-A2BB-A1448B3E9C6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US" sz="1000" b="1">
                <a:solidFill>
                  <a:schemeClr val="bg1"/>
                </a:solidFill>
              </a:rPr>
              <a:t>Overall Maintenance</a:t>
            </a:r>
            <a:r>
              <a:rPr lang="en-US" sz="1000" b="1" baseline="0">
                <a:solidFill>
                  <a:schemeClr val="bg1"/>
                </a:solidFill>
              </a:rPr>
              <a:t> Cost / Location</a:t>
            </a:r>
            <a:endParaRPr lang="en-US" sz="1000" b="1">
              <a:solidFill>
                <a:schemeClr val="bg1"/>
              </a:solidFill>
            </a:endParaRPr>
          </a:p>
        </c:rich>
      </c:tx>
      <c:layout>
        <c:manualLayout>
          <c:xMode val="edge"/>
          <c:yMode val="edge"/>
          <c:x val="1.7326334208223989E-2"/>
          <c:y val="2.777777777777777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NG"/>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A-05D9-4BA4-879C-CE5ED8D63FE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05D9-4BA4-879C-CE5ED8D63FED}"/>
              </c:ext>
            </c:extLst>
          </c:dPt>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C-05D9-4BA4-879C-CE5ED8D63F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Data_Analysis!$A$181:$A$184</c:f>
              <c:strCache>
                <c:ptCount val="4"/>
                <c:pt idx="0">
                  <c:v>LAGOS</c:v>
                </c:pt>
                <c:pt idx="1">
                  <c:v>PORT HARCOURT</c:v>
                </c:pt>
                <c:pt idx="2">
                  <c:v>UYO</c:v>
                </c:pt>
                <c:pt idx="3">
                  <c:v>ABUJA</c:v>
                </c:pt>
              </c:strCache>
            </c:strRef>
          </c:cat>
          <c:val>
            <c:numRef>
              <c:f>Data_Analysis!$B$181:$B$184</c:f>
              <c:numCache>
                <c:formatCode>_(* #,##0.00_);_(* \(#,##0.00\);_(* "-"??_);_(@_)</c:formatCode>
                <c:ptCount val="4"/>
                <c:pt idx="0">
                  <c:v>0</c:v>
                </c:pt>
                <c:pt idx="1">
                  <c:v>0</c:v>
                </c:pt>
                <c:pt idx="2">
                  <c:v>0</c:v>
                </c:pt>
                <c:pt idx="3">
                  <c:v>0</c:v>
                </c:pt>
              </c:numCache>
            </c:numRef>
          </c:val>
          <c:extLst>
            <c:ext xmlns:c16="http://schemas.microsoft.com/office/drawing/2014/chart" uri="{C3380CC4-5D6E-409C-BE32-E72D297353CC}">
              <c16:uniqueId val="{00000000-05D9-4BA4-879C-CE5ED8D63FED}"/>
            </c:ext>
          </c:extLst>
        </c:ser>
        <c:dLbls>
          <c:dLblPos val="outEnd"/>
          <c:showLegendKey val="0"/>
          <c:showVal val="1"/>
          <c:showCatName val="0"/>
          <c:showSerName val="0"/>
          <c:showPercent val="0"/>
          <c:showBubbleSize val="0"/>
        </c:dLbls>
        <c:gapWidth val="27"/>
        <c:overlap val="-8"/>
        <c:axId val="295127087"/>
        <c:axId val="140884879"/>
      </c:barChart>
      <c:catAx>
        <c:axId val="29512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40884879"/>
        <c:crosses val="autoZero"/>
        <c:auto val="1"/>
        <c:lblAlgn val="ctr"/>
        <c:lblOffset val="100"/>
        <c:noMultiLvlLbl val="0"/>
      </c:catAx>
      <c:valAx>
        <c:axId val="140884879"/>
        <c:scaling>
          <c:orientation val="minMax"/>
        </c:scaling>
        <c:delete val="1"/>
        <c:axPos val="l"/>
        <c:numFmt formatCode="_(* #,##0.00_);_(* \(#,##0.00\);_(* &quot;-&quot;??_);_(@_)" sourceLinked="1"/>
        <c:majorTickMark val="none"/>
        <c:minorTickMark val="none"/>
        <c:tickLblPos val="nextTo"/>
        <c:crossAx val="295127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D137-44AA-A180-605827D267B4}"/>
              </c:ext>
            </c:extLst>
          </c:dPt>
          <c:dPt>
            <c:idx val="1"/>
            <c:bubble3D val="0"/>
            <c:spPr>
              <a:solidFill>
                <a:schemeClr val="accent2"/>
              </a:solidFill>
              <a:ln w="19050">
                <a:noFill/>
              </a:ln>
              <a:effectLst/>
            </c:spPr>
            <c:extLst>
              <c:ext xmlns:c16="http://schemas.microsoft.com/office/drawing/2014/chart" uri="{C3380CC4-5D6E-409C-BE32-E72D297353CC}">
                <c16:uniqueId val="{00000003-D137-44AA-A180-605827D267B4}"/>
              </c:ext>
            </c:extLst>
          </c:dPt>
          <c:val>
            <c:numRef>
              <c:f>Data_Analysis!$AD$39:$AD$40</c:f>
              <c:numCache>
                <c:formatCode>0.00%</c:formatCode>
                <c:ptCount val="2"/>
                <c:pt idx="0">
                  <c:v>0</c:v>
                </c:pt>
                <c:pt idx="1">
                  <c:v>0</c:v>
                </c:pt>
              </c:numCache>
            </c:numRef>
          </c:val>
          <c:extLst>
            <c:ext xmlns:c16="http://schemas.microsoft.com/office/drawing/2014/chart" uri="{C3380CC4-5D6E-409C-BE32-E72D297353CC}">
              <c16:uniqueId val="{00000004-D137-44AA-A180-605827D267B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77CC-4ACF-AB33-6F2181648999}"/>
              </c:ext>
            </c:extLst>
          </c:dPt>
          <c:dPt>
            <c:idx val="1"/>
            <c:bubble3D val="0"/>
            <c:spPr>
              <a:solidFill>
                <a:schemeClr val="accent2"/>
              </a:solidFill>
              <a:ln w="19050">
                <a:noFill/>
              </a:ln>
              <a:effectLst/>
            </c:spPr>
            <c:extLst>
              <c:ext xmlns:c16="http://schemas.microsoft.com/office/drawing/2014/chart" uri="{C3380CC4-5D6E-409C-BE32-E72D297353CC}">
                <c16:uniqueId val="{00000003-77CC-4ACF-AB33-6F2181648999}"/>
              </c:ext>
            </c:extLst>
          </c:dPt>
          <c:val>
            <c:numRef>
              <c:f>Data_Analysis!$AD$42:$AD$43</c:f>
              <c:numCache>
                <c:formatCode>0.00%</c:formatCode>
                <c:ptCount val="2"/>
                <c:pt idx="0">
                  <c:v>0</c:v>
                </c:pt>
                <c:pt idx="1">
                  <c:v>0</c:v>
                </c:pt>
              </c:numCache>
            </c:numRef>
          </c:val>
          <c:extLst>
            <c:ext xmlns:c16="http://schemas.microsoft.com/office/drawing/2014/chart" uri="{C3380CC4-5D6E-409C-BE32-E72D297353CC}">
              <c16:uniqueId val="{00000004-77CC-4ACF-AB33-6F218164899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39249639249639"/>
          <c:y val="0.11415525114155251"/>
          <c:w val="0.75757575757575757"/>
          <c:h val="0.79071537290715377"/>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7CE7-432E-A667-C6706153C8A9}"/>
              </c:ext>
            </c:extLst>
          </c:dPt>
          <c:dPt>
            <c:idx val="1"/>
            <c:bubble3D val="0"/>
            <c:spPr>
              <a:solidFill>
                <a:schemeClr val="accent2"/>
              </a:solidFill>
              <a:ln w="19050">
                <a:noFill/>
              </a:ln>
              <a:effectLst/>
            </c:spPr>
            <c:extLst>
              <c:ext xmlns:c16="http://schemas.microsoft.com/office/drawing/2014/chart" uri="{C3380CC4-5D6E-409C-BE32-E72D297353CC}">
                <c16:uniqueId val="{00000003-7CE7-432E-A667-C6706153C8A9}"/>
              </c:ext>
            </c:extLst>
          </c:dPt>
          <c:val>
            <c:numRef>
              <c:f>Data_Analysis!$P$12:$P$13</c:f>
              <c:numCache>
                <c:formatCode>0.00%</c:formatCode>
                <c:ptCount val="2"/>
                <c:pt idx="0">
                  <c:v>0</c:v>
                </c:pt>
                <c:pt idx="1">
                  <c:v>0</c:v>
                </c:pt>
              </c:numCache>
            </c:numRef>
          </c:val>
          <c:extLst>
            <c:ext xmlns:c16="http://schemas.microsoft.com/office/drawing/2014/chart" uri="{C3380CC4-5D6E-409C-BE32-E72D297353CC}">
              <c16:uniqueId val="{00000004-7CE7-432E-A667-C6706153C8A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01760176017603"/>
          <c:y val="0.2170138888888889"/>
          <c:w val="0.647964796479648"/>
          <c:h val="0.6817129629629629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AC-42CF-BE80-72AE06269C0C}"/>
              </c:ext>
            </c:extLst>
          </c:dPt>
          <c:dPt>
            <c:idx val="1"/>
            <c:bubble3D val="0"/>
            <c:spPr>
              <a:solidFill>
                <a:schemeClr val="accent2"/>
              </a:solidFill>
              <a:ln w="19050">
                <a:noFill/>
              </a:ln>
              <a:effectLst/>
            </c:spPr>
            <c:extLst>
              <c:ext xmlns:c16="http://schemas.microsoft.com/office/drawing/2014/chart" uri="{C3380CC4-5D6E-409C-BE32-E72D297353CC}">
                <c16:uniqueId val="{00000003-83AC-42CF-BE80-72AE06269C0C}"/>
              </c:ext>
            </c:extLst>
          </c:dPt>
          <c:val>
            <c:numRef>
              <c:f>Data_Analysis!$P$18:$P$19</c:f>
              <c:numCache>
                <c:formatCode>0.00%</c:formatCode>
                <c:ptCount val="2"/>
                <c:pt idx="0">
                  <c:v>0</c:v>
                </c:pt>
                <c:pt idx="1">
                  <c:v>0</c:v>
                </c:pt>
              </c:numCache>
            </c:numRef>
          </c:val>
          <c:extLst>
            <c:ext xmlns:c16="http://schemas.microsoft.com/office/drawing/2014/chart" uri="{C3380CC4-5D6E-409C-BE32-E72D297353CC}">
              <c16:uniqueId val="{00000004-83AC-42CF-BE80-72AE06269C0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1</xdr:row>
      <xdr:rowOff>7620</xdr:rowOff>
    </xdr:from>
    <xdr:to>
      <xdr:col>2</xdr:col>
      <xdr:colOff>503555</xdr:colOff>
      <xdr:row>4</xdr:row>
      <xdr:rowOff>48895</xdr:rowOff>
    </xdr:to>
    <xdr:pic>
      <xdr:nvPicPr>
        <xdr:cNvPr id="2" name="Picture 1">
          <a:extLst>
            <a:ext uri="{FF2B5EF4-FFF2-40B4-BE49-F238E27FC236}">
              <a16:creationId xmlns:a16="http://schemas.microsoft.com/office/drawing/2014/main" id="{4EA993EA-D205-4C43-BFE1-95D9FAFFB4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0975" y="45720"/>
          <a:ext cx="1221105" cy="327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xdr:colOff>
      <xdr:row>2</xdr:row>
      <xdr:rowOff>108585</xdr:rowOff>
    </xdr:from>
    <xdr:to>
      <xdr:col>3</xdr:col>
      <xdr:colOff>462915</xdr:colOff>
      <xdr:row>4</xdr:row>
      <xdr:rowOff>230505</xdr:rowOff>
    </xdr:to>
    <xdr:pic>
      <xdr:nvPicPr>
        <xdr:cNvPr id="3" name="Picture 2">
          <a:extLst>
            <a:ext uri="{FF2B5EF4-FFF2-40B4-BE49-F238E27FC236}">
              <a16:creationId xmlns:a16="http://schemas.microsoft.com/office/drawing/2014/main" id="{1108F400-D804-2A1B-9E99-BFECEEE465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291465"/>
          <a:ext cx="1221105"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158115</xdr:colOff>
      <xdr:row>1</xdr:row>
      <xdr:rowOff>60960</xdr:rowOff>
    </xdr:from>
    <xdr:to>
      <xdr:col>3</xdr:col>
      <xdr:colOff>685800</xdr:colOff>
      <xdr:row>4</xdr:row>
      <xdr:rowOff>99060</xdr:rowOff>
    </xdr:to>
    <xdr:pic>
      <xdr:nvPicPr>
        <xdr:cNvPr id="4" name="Picture 3">
          <a:extLst>
            <a:ext uri="{FF2B5EF4-FFF2-40B4-BE49-F238E27FC236}">
              <a16:creationId xmlns:a16="http://schemas.microsoft.com/office/drawing/2014/main" id="{0BEF9DA1-8944-4EC7-9FAA-DF7F0837EF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3855" y="213360"/>
          <a:ext cx="1221105" cy="327660"/>
        </a:xfrm>
        <a:prstGeom prst="rect">
          <a:avLst/>
        </a:prstGeom>
      </xdr:spPr>
    </xdr:pic>
    <xdr:clientData/>
  </xdr:twoCellAnchor>
  <xdr:oneCellAnchor>
    <xdr:from>
      <xdr:col>2</xdr:col>
      <xdr:colOff>0</xdr:colOff>
      <xdr:row>1</xdr:row>
      <xdr:rowOff>60960</xdr:rowOff>
    </xdr:from>
    <xdr:ext cx="1203960" cy="333375"/>
    <xdr:pic>
      <xdr:nvPicPr>
        <xdr:cNvPr id="2" name="Picture 1">
          <a:extLst>
            <a:ext uri="{FF2B5EF4-FFF2-40B4-BE49-F238E27FC236}">
              <a16:creationId xmlns:a16="http://schemas.microsoft.com/office/drawing/2014/main" id="{AC226C48-B83D-4855-A8D2-8D0D75FBAE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13360"/>
          <a:ext cx="1203960" cy="3333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590549</xdr:colOff>
      <xdr:row>66</xdr:row>
      <xdr:rowOff>1</xdr:rowOff>
    </xdr:from>
    <xdr:to>
      <xdr:col>5</xdr:col>
      <xdr:colOff>533400</xdr:colOff>
      <xdr:row>73</xdr:row>
      <xdr:rowOff>114301</xdr:rowOff>
    </xdr:to>
    <mc:AlternateContent xmlns:mc="http://schemas.openxmlformats.org/markup-compatibility/2006" xmlns:a14="http://schemas.microsoft.com/office/drawing/2010/main">
      <mc:Choice Requires="a14">
        <xdr:graphicFrame macro="">
          <xdr:nvGraphicFramePr>
            <xdr:cNvPr id="2" name="ASSET DESCRIPTION">
              <a:extLst>
                <a:ext uri="{FF2B5EF4-FFF2-40B4-BE49-F238E27FC236}">
                  <a16:creationId xmlns:a16="http://schemas.microsoft.com/office/drawing/2014/main" id="{D98B5270-5219-B974-EE29-BC5BA8DD6528}"/>
                </a:ext>
              </a:extLst>
            </xdr:cNvPr>
            <xdr:cNvGraphicFramePr/>
          </xdr:nvGraphicFramePr>
          <xdr:xfrm>
            <a:off x="0" y="0"/>
            <a:ext cx="0" cy="0"/>
          </xdr:xfrm>
          <a:graphic>
            <a:graphicData uri="http://schemas.microsoft.com/office/drawing/2010/slicer">
              <sle:slicer xmlns:sle="http://schemas.microsoft.com/office/drawing/2010/slicer" name="ASSET DESCRIPTION"/>
            </a:graphicData>
          </a:graphic>
        </xdr:graphicFrame>
      </mc:Choice>
      <mc:Fallback xmlns="">
        <xdr:sp macro="" textlink="">
          <xdr:nvSpPr>
            <xdr:cNvPr id="0" name=""/>
            <xdr:cNvSpPr>
              <a:spLocks noTextEdit="1"/>
            </xdr:cNvSpPr>
          </xdr:nvSpPr>
          <xdr:spPr>
            <a:xfrm>
              <a:off x="4524374" y="11477626"/>
              <a:ext cx="3276601"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49</xdr:row>
      <xdr:rowOff>180975</xdr:rowOff>
    </xdr:from>
    <xdr:to>
      <xdr:col>15</xdr:col>
      <xdr:colOff>771525</xdr:colOff>
      <xdr:row>62</xdr:row>
      <xdr:rowOff>28575</xdr:rowOff>
    </xdr:to>
    <mc:AlternateContent xmlns:mc="http://schemas.openxmlformats.org/markup-compatibility/2006" xmlns:a14="http://schemas.microsoft.com/office/drawing/2010/main">
      <mc:Choice Requires="a14">
        <xdr:graphicFrame macro="">
          <xdr:nvGraphicFramePr>
            <xdr:cNvPr id="4" name="VEHICLE REG NO.">
              <a:extLst>
                <a:ext uri="{FF2B5EF4-FFF2-40B4-BE49-F238E27FC236}">
                  <a16:creationId xmlns:a16="http://schemas.microsoft.com/office/drawing/2014/main" id="{BA466904-B904-B4C2-89CF-62FF9338993F}"/>
                </a:ext>
              </a:extLst>
            </xdr:cNvPr>
            <xdr:cNvGraphicFramePr/>
          </xdr:nvGraphicFramePr>
          <xdr:xfrm>
            <a:off x="0" y="0"/>
            <a:ext cx="0" cy="0"/>
          </xdr:xfrm>
          <a:graphic>
            <a:graphicData uri="http://schemas.microsoft.com/office/drawing/2010/slicer">
              <sle:slicer xmlns:sle="http://schemas.microsoft.com/office/drawing/2010/slicer" name="VEHICLE REG NO."/>
            </a:graphicData>
          </a:graphic>
        </xdr:graphicFrame>
      </mc:Choice>
      <mc:Fallback xmlns="">
        <xdr:sp macro="" textlink="">
          <xdr:nvSpPr>
            <xdr:cNvPr id="0" name=""/>
            <xdr:cNvSpPr>
              <a:spLocks noTextEdit="1"/>
            </xdr:cNvSpPr>
          </xdr:nvSpPr>
          <xdr:spPr>
            <a:xfrm>
              <a:off x="13773150" y="8420100"/>
              <a:ext cx="28956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63</xdr:row>
      <xdr:rowOff>142875</xdr:rowOff>
    </xdr:from>
    <xdr:to>
      <xdr:col>15</xdr:col>
      <xdr:colOff>1219200</xdr:colOff>
      <xdr:row>71</xdr:row>
      <xdr:rowOff>0</xdr:rowOff>
    </xdr:to>
    <mc:AlternateContent xmlns:mc="http://schemas.openxmlformats.org/markup-compatibility/2006" xmlns:tsle="http://schemas.microsoft.com/office/drawing/2012/timeslicer">
      <mc:Choice Requires="tsle">
        <xdr:graphicFrame macro="">
          <xdr:nvGraphicFramePr>
            <xdr:cNvPr id="5" name="DATE OF REQUEST 1">
              <a:extLst>
                <a:ext uri="{FF2B5EF4-FFF2-40B4-BE49-F238E27FC236}">
                  <a16:creationId xmlns:a16="http://schemas.microsoft.com/office/drawing/2014/main" id="{F94B13B9-3355-D3FB-E63A-2A0AF5F1C33B}"/>
                </a:ext>
              </a:extLst>
            </xdr:cNvPr>
            <xdr:cNvGraphicFramePr/>
          </xdr:nvGraphicFramePr>
          <xdr:xfrm>
            <a:off x="0" y="0"/>
            <a:ext cx="0" cy="0"/>
          </xdr:xfrm>
          <a:graphic>
            <a:graphicData uri="http://schemas.microsoft.com/office/drawing/2012/timeslicer">
              <tsle:timeslicer name="DATE OF REQUEST 1"/>
            </a:graphicData>
          </a:graphic>
        </xdr:graphicFrame>
      </mc:Choice>
      <mc:Fallback xmlns="">
        <xdr:sp macro="" textlink="">
          <xdr:nvSpPr>
            <xdr:cNvPr id="0" name=""/>
            <xdr:cNvSpPr>
              <a:spLocks noTextEdit="1"/>
            </xdr:cNvSpPr>
          </xdr:nvSpPr>
          <xdr:spPr>
            <a:xfrm>
              <a:off x="13782675" y="110490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238125</xdr:colOff>
      <xdr:row>71</xdr:row>
      <xdr:rowOff>190499</xdr:rowOff>
    </xdr:from>
    <xdr:to>
      <xdr:col>27</xdr:col>
      <xdr:colOff>847725</xdr:colOff>
      <xdr:row>87</xdr:row>
      <xdr:rowOff>0</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7D3928C0-38D6-3128-E975-15D3D0B71C7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0383500" y="1262062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187325</xdr:colOff>
      <xdr:row>64</xdr:row>
      <xdr:rowOff>0</xdr:rowOff>
    </xdr:from>
    <xdr:to>
      <xdr:col>7</xdr:col>
      <xdr:colOff>1006475</xdr:colOff>
      <xdr:row>66</xdr:row>
      <xdr:rowOff>161925</xdr:rowOff>
    </xdr:to>
    <xdr:sp macro="" textlink="">
      <xdr:nvSpPr>
        <xdr:cNvPr id="10" name="Rectangle: Rounded Corners 9">
          <a:extLst>
            <a:ext uri="{FF2B5EF4-FFF2-40B4-BE49-F238E27FC236}">
              <a16:creationId xmlns:a16="http://schemas.microsoft.com/office/drawing/2014/main" id="{E63FA8D6-E058-4FB3-8C58-621479F85958}"/>
            </a:ext>
          </a:extLst>
        </xdr:cNvPr>
        <xdr:cNvSpPr/>
      </xdr:nvSpPr>
      <xdr:spPr>
        <a:xfrm>
          <a:off x="7067550" y="13001625"/>
          <a:ext cx="2133600" cy="5429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TOP 5 EQUIPMENT WITH HIGHEST MAINTENACE</a:t>
          </a:r>
          <a:r>
            <a:rPr lang="en-US" sz="1100" b="1" i="0" u="none" strike="noStrike" baseline="0">
              <a:solidFill>
                <a:schemeClr val="bg1"/>
              </a:solidFill>
              <a:latin typeface="Calibri"/>
              <a:ea typeface="Calibri"/>
              <a:cs typeface="Calibri"/>
            </a:rPr>
            <a:t> COST</a:t>
          </a:r>
        </a:p>
      </xdr:txBody>
    </xdr:sp>
    <xdr:clientData/>
  </xdr:twoCellAnchor>
  <xdr:twoCellAnchor editAs="absolute">
    <xdr:from>
      <xdr:col>17</xdr:col>
      <xdr:colOff>215900</xdr:colOff>
      <xdr:row>47</xdr:row>
      <xdr:rowOff>152400</xdr:rowOff>
    </xdr:from>
    <xdr:to>
      <xdr:col>19</xdr:col>
      <xdr:colOff>1101725</xdr:colOff>
      <xdr:row>50</xdr:row>
      <xdr:rowOff>0</xdr:rowOff>
    </xdr:to>
    <xdr:sp macro="" textlink="">
      <xdr:nvSpPr>
        <xdr:cNvPr id="11" name="Rectangle: Rounded Corners 10">
          <a:extLst>
            <a:ext uri="{FF2B5EF4-FFF2-40B4-BE49-F238E27FC236}">
              <a16:creationId xmlns:a16="http://schemas.microsoft.com/office/drawing/2014/main" id="{D04FE6FB-D878-4B12-9AF4-524AD7289185}"/>
            </a:ext>
          </a:extLst>
        </xdr:cNvPr>
        <xdr:cNvSpPr/>
      </xdr:nvSpPr>
      <xdr:spPr>
        <a:xfrm>
          <a:off x="19716750" y="9705975"/>
          <a:ext cx="2133600" cy="5429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TOP 5 VEHICLES WITH HIGHEST MAINTENACE</a:t>
          </a:r>
          <a:r>
            <a:rPr lang="en-US" sz="1100" b="1" i="0" u="none" strike="noStrike" baseline="0">
              <a:solidFill>
                <a:schemeClr val="bg1"/>
              </a:solidFill>
              <a:latin typeface="Calibri"/>
              <a:ea typeface="Calibri"/>
              <a:cs typeface="Calibri"/>
            </a:rPr>
            <a:t> COST</a:t>
          </a:r>
        </a:p>
      </xdr:txBody>
    </xdr:sp>
    <xdr:clientData/>
  </xdr:twoCellAnchor>
  <xdr:twoCellAnchor editAs="absolute">
    <xdr:from>
      <xdr:col>27</xdr:col>
      <xdr:colOff>206375</xdr:colOff>
      <xdr:row>67</xdr:row>
      <xdr:rowOff>142875</xdr:rowOff>
    </xdr:from>
    <xdr:to>
      <xdr:col>28</xdr:col>
      <xdr:colOff>806450</xdr:colOff>
      <xdr:row>70</xdr:row>
      <xdr:rowOff>114300</xdr:rowOff>
    </xdr:to>
    <xdr:sp macro="" textlink="">
      <xdr:nvSpPr>
        <xdr:cNvPr id="12" name="Rectangle: Rounded Corners 11">
          <a:extLst>
            <a:ext uri="{FF2B5EF4-FFF2-40B4-BE49-F238E27FC236}">
              <a16:creationId xmlns:a16="http://schemas.microsoft.com/office/drawing/2014/main" id="{2C79EF55-25DF-42CA-9EF4-7B30C139DC8F}"/>
            </a:ext>
          </a:extLst>
        </xdr:cNvPr>
        <xdr:cNvSpPr/>
      </xdr:nvSpPr>
      <xdr:spPr>
        <a:xfrm>
          <a:off x="28260675" y="13716000"/>
          <a:ext cx="2133600" cy="5429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TOP 5 FACILITIES WITH HIGHEST MAINTENACE</a:t>
          </a:r>
          <a:r>
            <a:rPr lang="en-US" sz="1100" b="1" i="0" u="none" strike="noStrike" baseline="0">
              <a:solidFill>
                <a:schemeClr val="bg1"/>
              </a:solidFill>
              <a:latin typeface="Calibri"/>
              <a:ea typeface="Calibri"/>
              <a:cs typeface="Calibri"/>
            </a:rPr>
            <a:t> COST</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230341</xdr:colOff>
      <xdr:row>10</xdr:row>
      <xdr:rowOff>26670</xdr:rowOff>
    </xdr:from>
    <xdr:to>
      <xdr:col>6</xdr:col>
      <xdr:colOff>588644</xdr:colOff>
      <xdr:row>21</xdr:row>
      <xdr:rowOff>171450</xdr:rowOff>
    </xdr:to>
    <xdr:sp macro="" textlink="">
      <xdr:nvSpPr>
        <xdr:cNvPr id="7222" name="Rectangle: Rounded Corners 7221">
          <a:extLst>
            <a:ext uri="{FF2B5EF4-FFF2-40B4-BE49-F238E27FC236}">
              <a16:creationId xmlns:a16="http://schemas.microsoft.com/office/drawing/2014/main" id="{C1250EB9-2D8E-63D8-FF1B-3425756EC25A}"/>
            </a:ext>
          </a:extLst>
        </xdr:cNvPr>
        <xdr:cNvSpPr/>
      </xdr:nvSpPr>
      <xdr:spPr>
        <a:xfrm>
          <a:off x="230341" y="1941195"/>
          <a:ext cx="3472978" cy="2116455"/>
        </a:xfrm>
        <a:prstGeom prst="roundRect">
          <a:avLst>
            <a:gd name="adj" fmla="val 2455"/>
          </a:avLst>
        </a:prstGeom>
        <a:solidFill>
          <a:srgbClr val="303B4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106680</xdr:colOff>
      <xdr:row>0</xdr:row>
      <xdr:rowOff>22860</xdr:rowOff>
    </xdr:from>
    <xdr:to>
      <xdr:col>16</xdr:col>
      <xdr:colOff>592455</xdr:colOff>
      <xdr:row>3</xdr:row>
      <xdr:rowOff>0</xdr:rowOff>
    </xdr:to>
    <xdr:grpSp>
      <xdr:nvGrpSpPr>
        <xdr:cNvPr id="57" name="Group 56">
          <a:extLst>
            <a:ext uri="{FF2B5EF4-FFF2-40B4-BE49-F238E27FC236}">
              <a16:creationId xmlns:a16="http://schemas.microsoft.com/office/drawing/2014/main" id="{4432BCC9-FB43-2A78-045F-7531F82C5C96}"/>
            </a:ext>
          </a:extLst>
        </xdr:cNvPr>
        <xdr:cNvGrpSpPr/>
      </xdr:nvGrpSpPr>
      <xdr:grpSpPr>
        <a:xfrm>
          <a:off x="894080" y="26035"/>
          <a:ext cx="11166475" cy="516890"/>
          <a:chOff x="859155" y="22860"/>
          <a:chExt cx="10668000" cy="548640"/>
        </a:xfrm>
      </xdr:grpSpPr>
      <xdr:sp macro="" textlink="">
        <xdr:nvSpPr>
          <xdr:cNvPr id="2" name="Rectangle: Rounded Corners 1">
            <a:extLst>
              <a:ext uri="{FF2B5EF4-FFF2-40B4-BE49-F238E27FC236}">
                <a16:creationId xmlns:a16="http://schemas.microsoft.com/office/drawing/2014/main" id="{23D25DD8-06AA-45A6-BBFA-87E22E9F6591}"/>
              </a:ext>
            </a:extLst>
          </xdr:cNvPr>
          <xdr:cNvSpPr/>
        </xdr:nvSpPr>
        <xdr:spPr>
          <a:xfrm>
            <a:off x="859155" y="22860"/>
            <a:ext cx="10460355" cy="548640"/>
          </a:xfrm>
          <a:prstGeom prst="roundRect">
            <a:avLst>
              <a:gd name="adj" fmla="val 4572"/>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69" name="Text Box 1">
            <a:extLst>
              <a:ext uri="{FF2B5EF4-FFF2-40B4-BE49-F238E27FC236}">
                <a16:creationId xmlns:a16="http://schemas.microsoft.com/office/drawing/2014/main" id="{54859223-9F18-16F3-CD4A-313501B06B8E}"/>
              </a:ext>
            </a:extLst>
          </xdr:cNvPr>
          <xdr:cNvSpPr txBox="1">
            <a:spLocks noChangeArrowheads="1"/>
          </xdr:cNvSpPr>
        </xdr:nvSpPr>
        <xdr:spPr bwMode="auto">
          <a:xfrm>
            <a:off x="1569720" y="72390"/>
            <a:ext cx="9957435" cy="441960"/>
          </a:xfrm>
          <a:prstGeom prst="rect">
            <a:avLst/>
          </a:prstGeom>
          <a:noFill/>
          <a:ln w="9525">
            <a:noFill/>
            <a:miter lim="800000"/>
            <a:headEnd/>
            <a:tailEnd/>
          </a:ln>
        </xdr:spPr>
        <xdr:txBody>
          <a:bodyPr vertOverflow="clip" wrap="square" lIns="36576" tIns="32004" rIns="0" bIns="0" anchor="t" upright="1"/>
          <a:lstStyle/>
          <a:p>
            <a:pPr marL="0" indent="0" algn="l" rtl="0">
              <a:defRPr sz="1000"/>
            </a:pPr>
            <a:r>
              <a:rPr lang="en-US" sz="2400">
                <a:solidFill>
                  <a:schemeClr val="bg1"/>
                </a:solidFill>
                <a:latin typeface="LATO BLACK" panose="020B0604020202020204" pitchFamily="34" charset="0"/>
                <a:ea typeface="LATO BLACK" panose="020B0604020202020204" pitchFamily="34" charset="0"/>
                <a:cs typeface="LATO BLACK" panose="020B0604020202020204" pitchFamily="34" charset="0"/>
              </a:rPr>
              <a:t>SUMMARY OF REPAIRS AND MAINTENANCE REGISTER - 2025</a:t>
            </a:r>
          </a:p>
          <a:p>
            <a:pPr marL="0" indent="0" algn="l" rtl="0">
              <a:defRPr sz="1000"/>
            </a:pPr>
            <a:endParaRPr lang="en-US" sz="2400">
              <a:solidFill>
                <a:schemeClr val="bg1"/>
              </a:solidFill>
              <a:latin typeface="LATO BLACK" panose="020B0604020202020204" pitchFamily="34" charset="0"/>
              <a:ea typeface="LATO BLACK" panose="020B0604020202020204" pitchFamily="34" charset="0"/>
              <a:cs typeface="LATO BLACK" panose="020B0604020202020204" pitchFamily="34" charset="0"/>
            </a:endParaRPr>
          </a:p>
        </xdr:txBody>
      </xdr:sp>
    </xdr:grpSp>
    <xdr:clientData/>
  </xdr:twoCellAnchor>
  <xdr:twoCellAnchor>
    <xdr:from>
      <xdr:col>2</xdr:col>
      <xdr:colOff>129540</xdr:colOff>
      <xdr:row>3</xdr:row>
      <xdr:rowOff>110490</xdr:rowOff>
    </xdr:from>
    <xdr:to>
      <xdr:col>6</xdr:col>
      <xdr:colOff>609600</xdr:colOff>
      <xdr:row>8</xdr:row>
      <xdr:rowOff>104775</xdr:rowOff>
    </xdr:to>
    <xdr:grpSp>
      <xdr:nvGrpSpPr>
        <xdr:cNvPr id="7280" name="Group 7279">
          <a:extLst>
            <a:ext uri="{FF2B5EF4-FFF2-40B4-BE49-F238E27FC236}">
              <a16:creationId xmlns:a16="http://schemas.microsoft.com/office/drawing/2014/main" id="{8FC97094-0FA6-21CD-ACA9-618AB371208C}"/>
            </a:ext>
          </a:extLst>
        </xdr:cNvPr>
        <xdr:cNvGrpSpPr/>
      </xdr:nvGrpSpPr>
      <xdr:grpSpPr>
        <a:xfrm>
          <a:off x="916940" y="650240"/>
          <a:ext cx="2959735" cy="899160"/>
          <a:chOff x="882015" y="662940"/>
          <a:chExt cx="2842260" cy="861060"/>
        </a:xfrm>
      </xdr:grpSpPr>
      <xdr:sp macro="" textlink="">
        <xdr:nvSpPr>
          <xdr:cNvPr id="3" name="Rectangle: Rounded Corners 2">
            <a:extLst>
              <a:ext uri="{FF2B5EF4-FFF2-40B4-BE49-F238E27FC236}">
                <a16:creationId xmlns:a16="http://schemas.microsoft.com/office/drawing/2014/main" id="{DAF64910-70DD-4713-B1D1-412F271C2425}"/>
              </a:ext>
            </a:extLst>
          </xdr:cNvPr>
          <xdr:cNvSpPr/>
        </xdr:nvSpPr>
        <xdr:spPr>
          <a:xfrm>
            <a:off x="882015" y="662940"/>
            <a:ext cx="2842260" cy="861060"/>
          </a:xfrm>
          <a:prstGeom prst="roundRect">
            <a:avLst>
              <a:gd name="adj" fmla="val 1750"/>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4541F0DC-DC6C-4B09-BC32-406D70AA806E}"/>
              </a:ext>
            </a:extLst>
          </xdr:cNvPr>
          <xdr:cNvSpPr txBox="1"/>
        </xdr:nvSpPr>
        <xdr:spPr>
          <a:xfrm>
            <a:off x="1217295" y="678180"/>
            <a:ext cx="22783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Overall Maintenance Cost</a:t>
            </a:r>
          </a:p>
        </xdr:txBody>
      </xdr:sp>
      <xdr:sp macro="" textlink="Data_Analysis!F1">
        <xdr:nvSpPr>
          <xdr:cNvPr id="5" name="TextBox 4">
            <a:extLst>
              <a:ext uri="{FF2B5EF4-FFF2-40B4-BE49-F238E27FC236}">
                <a16:creationId xmlns:a16="http://schemas.microsoft.com/office/drawing/2014/main" id="{A6059E3E-12D9-4B9F-BB5B-DB8123743A7A}"/>
              </a:ext>
            </a:extLst>
          </xdr:cNvPr>
          <xdr:cNvSpPr txBox="1"/>
        </xdr:nvSpPr>
        <xdr:spPr>
          <a:xfrm>
            <a:off x="1114425" y="1003935"/>
            <a:ext cx="23545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CB5B5A-CC6F-482F-8860-031A3740F502}" type="TxLink">
              <a:rPr lang="en-US" sz="2400" b="1" i="0" u="none" strike="noStrike">
                <a:solidFill>
                  <a:schemeClr val="bg1"/>
                </a:solidFill>
                <a:latin typeface="Calibri"/>
                <a:ea typeface="LATO BLACK" panose="020F0502020204030203" pitchFamily="34" charset="0"/>
                <a:cs typeface="Calibri"/>
              </a:rPr>
              <a:pPr marL="0" indent="0" algn="ctr"/>
              <a:t> 1,686,262.90 </a:t>
            </a:fld>
            <a:endParaRPr lang="en-US" sz="2400" b="1" i="0" u="none" strike="noStrike">
              <a:solidFill>
                <a:schemeClr val="bg1"/>
              </a:solidFill>
              <a:latin typeface="Calibri"/>
              <a:ea typeface="LATO BLACK" panose="020F0502020204030203" pitchFamily="34" charset="0"/>
              <a:cs typeface="Calibri"/>
            </a:endParaRPr>
          </a:p>
        </xdr:txBody>
      </xdr:sp>
    </xdr:grpSp>
    <xdr:clientData/>
  </xdr:twoCellAnchor>
  <xdr:twoCellAnchor editAs="absolute">
    <xdr:from>
      <xdr:col>6</xdr:col>
      <xdr:colOff>609600</xdr:colOff>
      <xdr:row>3</xdr:row>
      <xdr:rowOff>127635</xdr:rowOff>
    </xdr:from>
    <xdr:to>
      <xdr:col>10</xdr:col>
      <xdr:colOff>533400</xdr:colOff>
      <xdr:row>8</xdr:row>
      <xdr:rowOff>43815</xdr:rowOff>
    </xdr:to>
    <xdr:grpSp>
      <xdr:nvGrpSpPr>
        <xdr:cNvPr id="7232" name="Group 7231">
          <a:extLst>
            <a:ext uri="{FF2B5EF4-FFF2-40B4-BE49-F238E27FC236}">
              <a16:creationId xmlns:a16="http://schemas.microsoft.com/office/drawing/2014/main" id="{6DDC8D52-7D2E-2483-8756-C555B7E3990E}"/>
            </a:ext>
          </a:extLst>
        </xdr:cNvPr>
        <xdr:cNvGrpSpPr/>
      </xdr:nvGrpSpPr>
      <xdr:grpSpPr>
        <a:xfrm>
          <a:off x="3876675" y="667385"/>
          <a:ext cx="2857500" cy="827405"/>
          <a:chOff x="3724275" y="670560"/>
          <a:chExt cx="2714625" cy="868680"/>
        </a:xfrm>
      </xdr:grpSpPr>
      <xdr:sp macro="" textlink="">
        <xdr:nvSpPr>
          <xdr:cNvPr id="6" name="Rectangle: Rounded Corners 5">
            <a:extLst>
              <a:ext uri="{FF2B5EF4-FFF2-40B4-BE49-F238E27FC236}">
                <a16:creationId xmlns:a16="http://schemas.microsoft.com/office/drawing/2014/main" id="{BD757041-C64C-56C4-E10A-0E054C99664E}"/>
              </a:ext>
            </a:extLst>
          </xdr:cNvPr>
          <xdr:cNvSpPr/>
        </xdr:nvSpPr>
        <xdr:spPr>
          <a:xfrm>
            <a:off x="3817620" y="670560"/>
            <a:ext cx="2621280" cy="868680"/>
          </a:xfrm>
          <a:prstGeom prst="roundRect">
            <a:avLst>
              <a:gd name="adj" fmla="val 1750"/>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7C7DE151-A05A-3399-CC42-ED05AF5284D7}"/>
              </a:ext>
            </a:extLst>
          </xdr:cNvPr>
          <xdr:cNvSpPr txBox="1"/>
        </xdr:nvSpPr>
        <xdr:spPr>
          <a:xfrm>
            <a:off x="4015740" y="685800"/>
            <a:ext cx="23850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Vehicle Maintenance Cost</a:t>
            </a:r>
          </a:p>
        </xdr:txBody>
      </xdr:sp>
      <xdr:sp macro="" textlink="Data_Analysis!K26">
        <xdr:nvSpPr>
          <xdr:cNvPr id="24" name="TextBox 23">
            <a:extLst>
              <a:ext uri="{FF2B5EF4-FFF2-40B4-BE49-F238E27FC236}">
                <a16:creationId xmlns:a16="http://schemas.microsoft.com/office/drawing/2014/main" id="{1633299D-F132-D028-6059-80F809DD4435}"/>
              </a:ext>
            </a:extLst>
          </xdr:cNvPr>
          <xdr:cNvSpPr txBox="1"/>
        </xdr:nvSpPr>
        <xdr:spPr>
          <a:xfrm>
            <a:off x="3724275" y="1049655"/>
            <a:ext cx="2676525"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4E1CEC-4EBC-45AA-8FE1-4D05E2FF0B6D}" type="TxLink">
              <a:rPr lang="en-US" sz="2400" b="1" i="0" u="none" strike="noStrike">
                <a:solidFill>
                  <a:schemeClr val="bg1"/>
                </a:solidFill>
                <a:latin typeface="Calibri"/>
                <a:ea typeface="Calibri"/>
                <a:cs typeface="Calibri"/>
              </a:rPr>
              <a:pPr marL="0" indent="0" algn="ctr"/>
              <a:t> -   </a:t>
            </a:fld>
            <a:endParaRPr lang="en-US" sz="2400" b="1" i="0" u="none" strike="noStrike">
              <a:solidFill>
                <a:schemeClr val="bg1"/>
              </a:solidFill>
              <a:latin typeface="Calibri"/>
              <a:ea typeface="LATO BLACK" panose="020F0502020204030203" pitchFamily="34" charset="0"/>
              <a:cs typeface="Calibri"/>
            </a:endParaRPr>
          </a:p>
        </xdr:txBody>
      </xdr:sp>
    </xdr:grpSp>
    <xdr:clientData/>
  </xdr:twoCellAnchor>
  <xdr:twoCellAnchor editAs="absolute">
    <xdr:from>
      <xdr:col>11</xdr:col>
      <xdr:colOff>60960</xdr:colOff>
      <xdr:row>10</xdr:row>
      <xdr:rowOff>64770</xdr:rowOff>
    </xdr:from>
    <xdr:to>
      <xdr:col>13</xdr:col>
      <xdr:colOff>1209675</xdr:colOff>
      <xdr:row>13</xdr:row>
      <xdr:rowOff>121920</xdr:rowOff>
    </xdr:to>
    <xdr:sp macro="" textlink="">
      <xdr:nvSpPr>
        <xdr:cNvPr id="33" name="Rectangle: Rounded Corners 32">
          <a:extLst>
            <a:ext uri="{FF2B5EF4-FFF2-40B4-BE49-F238E27FC236}">
              <a16:creationId xmlns:a16="http://schemas.microsoft.com/office/drawing/2014/main" id="{E68C1F95-3E03-07B5-054B-43A29654D364}"/>
            </a:ext>
          </a:extLst>
        </xdr:cNvPr>
        <xdr:cNvSpPr/>
      </xdr:nvSpPr>
      <xdr:spPr>
        <a:xfrm>
          <a:off x="6547485" y="1979295"/>
          <a:ext cx="2586990" cy="5048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22860</xdr:colOff>
      <xdr:row>11</xdr:row>
      <xdr:rowOff>114300</xdr:rowOff>
    </xdr:from>
    <xdr:to>
      <xdr:col>12</xdr:col>
      <xdr:colOff>7620</xdr:colOff>
      <xdr:row>13</xdr:row>
      <xdr:rowOff>45720</xdr:rowOff>
    </xdr:to>
    <xdr:sp macro="" textlink="">
      <xdr:nvSpPr>
        <xdr:cNvPr id="36" name="TextBox 35">
          <a:extLst>
            <a:ext uri="{FF2B5EF4-FFF2-40B4-BE49-F238E27FC236}">
              <a16:creationId xmlns:a16="http://schemas.microsoft.com/office/drawing/2014/main" id="{D6F77BDC-EB67-AF53-E0EE-751783AFC4DF}"/>
            </a:ext>
          </a:extLst>
        </xdr:cNvPr>
        <xdr:cNvSpPr txBox="1"/>
      </xdr:nvSpPr>
      <xdr:spPr>
        <a:xfrm>
          <a:off x="6271260" y="2049780"/>
          <a:ext cx="5943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DGS - </a:t>
          </a:r>
        </a:p>
      </xdr:txBody>
    </xdr:sp>
    <xdr:clientData/>
  </xdr:twoCellAnchor>
  <xdr:twoCellAnchor editAs="absolute">
    <xdr:from>
      <xdr:col>11</xdr:col>
      <xdr:colOff>63816</xdr:colOff>
      <xdr:row>14</xdr:row>
      <xdr:rowOff>8934</xdr:rowOff>
    </xdr:from>
    <xdr:to>
      <xdr:col>13</xdr:col>
      <xdr:colOff>1209674</xdr:colOff>
      <xdr:row>16</xdr:row>
      <xdr:rowOff>153714</xdr:rowOff>
    </xdr:to>
    <xdr:sp macro="" textlink="">
      <xdr:nvSpPr>
        <xdr:cNvPr id="37" name="Rectangle: Rounded Corners 36">
          <a:extLst>
            <a:ext uri="{FF2B5EF4-FFF2-40B4-BE49-F238E27FC236}">
              <a16:creationId xmlns:a16="http://schemas.microsoft.com/office/drawing/2014/main" id="{740165FF-C7B1-3BFB-8239-57086B412C7B}"/>
            </a:ext>
          </a:extLst>
        </xdr:cNvPr>
        <xdr:cNvSpPr/>
      </xdr:nvSpPr>
      <xdr:spPr>
        <a:xfrm>
          <a:off x="6550341" y="2561634"/>
          <a:ext cx="2584133" cy="52578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editAs="absolute">
    <xdr:from>
      <xdr:col>11</xdr:col>
      <xdr:colOff>67624</xdr:colOff>
      <xdr:row>17</xdr:row>
      <xdr:rowOff>40728</xdr:rowOff>
    </xdr:from>
    <xdr:to>
      <xdr:col>13</xdr:col>
      <xdr:colOff>1228725</xdr:colOff>
      <xdr:row>20</xdr:row>
      <xdr:rowOff>2628</xdr:rowOff>
    </xdr:to>
    <xdr:sp macro="" textlink="">
      <xdr:nvSpPr>
        <xdr:cNvPr id="38" name="Rectangle: Rounded Corners 37">
          <a:extLst>
            <a:ext uri="{FF2B5EF4-FFF2-40B4-BE49-F238E27FC236}">
              <a16:creationId xmlns:a16="http://schemas.microsoft.com/office/drawing/2014/main" id="{51B471F4-4C87-AA39-74FE-BD444D19D44D}"/>
            </a:ext>
          </a:extLst>
        </xdr:cNvPr>
        <xdr:cNvSpPr/>
      </xdr:nvSpPr>
      <xdr:spPr>
        <a:xfrm>
          <a:off x="6554149" y="3164928"/>
          <a:ext cx="2599376" cy="53340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73339</xdr:colOff>
      <xdr:row>20</xdr:row>
      <xdr:rowOff>72522</xdr:rowOff>
    </xdr:from>
    <xdr:to>
      <xdr:col>13</xdr:col>
      <xdr:colOff>1238250</xdr:colOff>
      <xdr:row>23</xdr:row>
      <xdr:rowOff>34422</xdr:rowOff>
    </xdr:to>
    <xdr:sp macro="" textlink="">
      <xdr:nvSpPr>
        <xdr:cNvPr id="39" name="Rectangle: Rounded Corners 38">
          <a:extLst>
            <a:ext uri="{FF2B5EF4-FFF2-40B4-BE49-F238E27FC236}">
              <a16:creationId xmlns:a16="http://schemas.microsoft.com/office/drawing/2014/main" id="{F877D03D-BE23-5962-EC94-BF8657D38484}"/>
            </a:ext>
          </a:extLst>
        </xdr:cNvPr>
        <xdr:cNvSpPr/>
      </xdr:nvSpPr>
      <xdr:spPr>
        <a:xfrm>
          <a:off x="6559864" y="3768222"/>
          <a:ext cx="2603186" cy="53340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79879</xdr:colOff>
      <xdr:row>23</xdr:row>
      <xdr:rowOff>104316</xdr:rowOff>
    </xdr:from>
    <xdr:to>
      <xdr:col>13</xdr:col>
      <xdr:colOff>1238249</xdr:colOff>
      <xdr:row>26</xdr:row>
      <xdr:rowOff>66216</xdr:rowOff>
    </xdr:to>
    <xdr:sp macro="" textlink="">
      <xdr:nvSpPr>
        <xdr:cNvPr id="40" name="Rectangle: Rounded Corners 39">
          <a:extLst>
            <a:ext uri="{FF2B5EF4-FFF2-40B4-BE49-F238E27FC236}">
              <a16:creationId xmlns:a16="http://schemas.microsoft.com/office/drawing/2014/main" id="{D0537D24-27A1-0AC8-5FBB-5AFF97F18A2B}"/>
            </a:ext>
          </a:extLst>
        </xdr:cNvPr>
        <xdr:cNvSpPr/>
      </xdr:nvSpPr>
      <xdr:spPr>
        <a:xfrm>
          <a:off x="6566404" y="4371516"/>
          <a:ext cx="2596645" cy="53340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95121</xdr:colOff>
      <xdr:row>26</xdr:row>
      <xdr:rowOff>136110</xdr:rowOff>
    </xdr:from>
    <xdr:to>
      <xdr:col>13</xdr:col>
      <xdr:colOff>1247775</xdr:colOff>
      <xdr:row>29</xdr:row>
      <xdr:rowOff>96959</xdr:rowOff>
    </xdr:to>
    <xdr:sp macro="" textlink="">
      <xdr:nvSpPr>
        <xdr:cNvPr id="41" name="Rectangle: Rounded Corners 40">
          <a:extLst>
            <a:ext uri="{FF2B5EF4-FFF2-40B4-BE49-F238E27FC236}">
              <a16:creationId xmlns:a16="http://schemas.microsoft.com/office/drawing/2014/main" id="{902311AF-44FE-AA87-F768-B9143FC7EE2E}"/>
            </a:ext>
          </a:extLst>
        </xdr:cNvPr>
        <xdr:cNvSpPr/>
      </xdr:nvSpPr>
      <xdr:spPr>
        <a:xfrm>
          <a:off x="6581646" y="4974810"/>
          <a:ext cx="2590929" cy="532349"/>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99852</xdr:colOff>
      <xdr:row>29</xdr:row>
      <xdr:rowOff>166853</xdr:rowOff>
    </xdr:from>
    <xdr:to>
      <xdr:col>13</xdr:col>
      <xdr:colOff>1238250</xdr:colOff>
      <xdr:row>32</xdr:row>
      <xdr:rowOff>129804</xdr:rowOff>
    </xdr:to>
    <xdr:sp macro="" textlink="">
      <xdr:nvSpPr>
        <xdr:cNvPr id="42" name="Rectangle: Rounded Corners 41">
          <a:extLst>
            <a:ext uri="{FF2B5EF4-FFF2-40B4-BE49-F238E27FC236}">
              <a16:creationId xmlns:a16="http://schemas.microsoft.com/office/drawing/2014/main" id="{F878CFAE-0C43-4623-00AA-369D1C9BBA86}"/>
            </a:ext>
          </a:extLst>
        </xdr:cNvPr>
        <xdr:cNvSpPr/>
      </xdr:nvSpPr>
      <xdr:spPr>
        <a:xfrm>
          <a:off x="6586377" y="5577053"/>
          <a:ext cx="2576673" cy="534451"/>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83821</xdr:colOff>
      <xdr:row>33</xdr:row>
      <xdr:rowOff>16818</xdr:rowOff>
    </xdr:from>
    <xdr:to>
      <xdr:col>13</xdr:col>
      <xdr:colOff>1247776</xdr:colOff>
      <xdr:row>35</xdr:row>
      <xdr:rowOff>162649</xdr:rowOff>
    </xdr:to>
    <xdr:sp macro="" textlink="">
      <xdr:nvSpPr>
        <xdr:cNvPr id="43" name="Rectangle: Rounded Corners 42">
          <a:extLst>
            <a:ext uri="{FF2B5EF4-FFF2-40B4-BE49-F238E27FC236}">
              <a16:creationId xmlns:a16="http://schemas.microsoft.com/office/drawing/2014/main" id="{35941708-C43C-D995-1D3A-FE3EC766D4D8}"/>
            </a:ext>
          </a:extLst>
        </xdr:cNvPr>
        <xdr:cNvSpPr/>
      </xdr:nvSpPr>
      <xdr:spPr>
        <a:xfrm>
          <a:off x="6570346" y="6189018"/>
          <a:ext cx="2602230" cy="526831"/>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98797</xdr:colOff>
      <xdr:row>36</xdr:row>
      <xdr:rowOff>49662</xdr:rowOff>
    </xdr:from>
    <xdr:to>
      <xdr:col>13</xdr:col>
      <xdr:colOff>1238249</xdr:colOff>
      <xdr:row>39</xdr:row>
      <xdr:rowOff>11562</xdr:rowOff>
    </xdr:to>
    <xdr:sp macro="" textlink="">
      <xdr:nvSpPr>
        <xdr:cNvPr id="44" name="Rectangle: Rounded Corners 43">
          <a:extLst>
            <a:ext uri="{FF2B5EF4-FFF2-40B4-BE49-F238E27FC236}">
              <a16:creationId xmlns:a16="http://schemas.microsoft.com/office/drawing/2014/main" id="{F465D0D2-9915-C775-0A1A-BAAE84DF93CF}"/>
            </a:ext>
          </a:extLst>
        </xdr:cNvPr>
        <xdr:cNvSpPr/>
      </xdr:nvSpPr>
      <xdr:spPr>
        <a:xfrm>
          <a:off x="6585322" y="6793362"/>
          <a:ext cx="2577727" cy="53340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18093</xdr:colOff>
      <xdr:row>14</xdr:row>
      <xdr:rowOff>91440</xdr:rowOff>
    </xdr:from>
    <xdr:to>
      <xdr:col>12</xdr:col>
      <xdr:colOff>38100</xdr:colOff>
      <xdr:row>16</xdr:row>
      <xdr:rowOff>22860</xdr:rowOff>
    </xdr:to>
    <xdr:sp macro="" textlink="">
      <xdr:nvSpPr>
        <xdr:cNvPr id="45" name="TextBox 44">
          <a:extLst>
            <a:ext uri="{FF2B5EF4-FFF2-40B4-BE49-F238E27FC236}">
              <a16:creationId xmlns:a16="http://schemas.microsoft.com/office/drawing/2014/main" id="{BE387750-5981-7856-AAD1-721B45FAF338}"/>
            </a:ext>
          </a:extLst>
        </xdr:cNvPr>
        <xdr:cNvSpPr txBox="1"/>
      </xdr:nvSpPr>
      <xdr:spPr>
        <a:xfrm>
          <a:off x="6504618" y="2644140"/>
          <a:ext cx="610557"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DR -</a:t>
          </a:r>
        </a:p>
      </xdr:txBody>
    </xdr:sp>
    <xdr:clientData/>
  </xdr:twoCellAnchor>
  <xdr:twoCellAnchor editAs="absolute">
    <xdr:from>
      <xdr:col>11</xdr:col>
      <xdr:colOff>59991</xdr:colOff>
      <xdr:row>17</xdr:row>
      <xdr:rowOff>158115</xdr:rowOff>
    </xdr:from>
    <xdr:to>
      <xdr:col>12</xdr:col>
      <xdr:colOff>85725</xdr:colOff>
      <xdr:row>19</xdr:row>
      <xdr:rowOff>89535</xdr:rowOff>
    </xdr:to>
    <xdr:sp macro="" textlink="">
      <xdr:nvSpPr>
        <xdr:cNvPr id="46" name="TextBox 45">
          <a:extLst>
            <a:ext uri="{FF2B5EF4-FFF2-40B4-BE49-F238E27FC236}">
              <a16:creationId xmlns:a16="http://schemas.microsoft.com/office/drawing/2014/main" id="{2C812B40-CDDF-1520-21F0-859348C246E9}"/>
            </a:ext>
          </a:extLst>
        </xdr:cNvPr>
        <xdr:cNvSpPr txBox="1"/>
      </xdr:nvSpPr>
      <xdr:spPr>
        <a:xfrm>
          <a:off x="6546516" y="3282315"/>
          <a:ext cx="616284"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GML -</a:t>
          </a:r>
        </a:p>
      </xdr:txBody>
    </xdr:sp>
    <xdr:clientData/>
  </xdr:twoCellAnchor>
  <xdr:twoCellAnchor editAs="absolute">
    <xdr:from>
      <xdr:col>11</xdr:col>
      <xdr:colOff>33817</xdr:colOff>
      <xdr:row>20</xdr:row>
      <xdr:rowOff>133349</xdr:rowOff>
    </xdr:from>
    <xdr:to>
      <xdr:col>12</xdr:col>
      <xdr:colOff>238124</xdr:colOff>
      <xdr:row>23</xdr:row>
      <xdr:rowOff>9524</xdr:rowOff>
    </xdr:to>
    <xdr:sp macro="" textlink="">
      <xdr:nvSpPr>
        <xdr:cNvPr id="47" name="TextBox 46">
          <a:extLst>
            <a:ext uri="{FF2B5EF4-FFF2-40B4-BE49-F238E27FC236}">
              <a16:creationId xmlns:a16="http://schemas.microsoft.com/office/drawing/2014/main" id="{30E4A996-256F-1CB3-F17C-4F6F9BBE5E31}"/>
            </a:ext>
          </a:extLst>
        </xdr:cNvPr>
        <xdr:cNvSpPr txBox="1"/>
      </xdr:nvSpPr>
      <xdr:spPr>
        <a:xfrm>
          <a:off x="6520342" y="3829049"/>
          <a:ext cx="794857"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LAGOS OFFICE -</a:t>
          </a:r>
        </a:p>
      </xdr:txBody>
    </xdr:sp>
    <xdr:clientData/>
  </xdr:twoCellAnchor>
  <xdr:twoCellAnchor editAs="absolute">
    <xdr:from>
      <xdr:col>11</xdr:col>
      <xdr:colOff>72852</xdr:colOff>
      <xdr:row>24</xdr:row>
      <xdr:rowOff>8144</xdr:rowOff>
    </xdr:from>
    <xdr:to>
      <xdr:col>12</xdr:col>
      <xdr:colOff>161925</xdr:colOff>
      <xdr:row>26</xdr:row>
      <xdr:rowOff>167640</xdr:rowOff>
    </xdr:to>
    <xdr:sp macro="" textlink="">
      <xdr:nvSpPr>
        <xdr:cNvPr id="48" name="TextBox 47">
          <a:extLst>
            <a:ext uri="{FF2B5EF4-FFF2-40B4-BE49-F238E27FC236}">
              <a16:creationId xmlns:a16="http://schemas.microsoft.com/office/drawing/2014/main" id="{8CB24044-3852-DF5A-1C37-E99532D34448}"/>
            </a:ext>
          </a:extLst>
        </xdr:cNvPr>
        <xdr:cNvSpPr txBox="1"/>
      </xdr:nvSpPr>
      <xdr:spPr>
        <a:xfrm>
          <a:off x="6559377" y="4465844"/>
          <a:ext cx="679623" cy="540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PHC</a:t>
          </a:r>
          <a:r>
            <a:rPr lang="en-US" sz="1100" b="0" baseline="0">
              <a:solidFill>
                <a:schemeClr val="bg1"/>
              </a:solidFill>
            </a:rPr>
            <a:t> </a:t>
          </a:r>
        </a:p>
        <a:p>
          <a:r>
            <a:rPr lang="en-US" sz="1100" b="0" baseline="0">
              <a:solidFill>
                <a:schemeClr val="bg1"/>
              </a:solidFill>
            </a:rPr>
            <a:t>OFFICE -</a:t>
          </a:r>
          <a:endParaRPr lang="en-US" sz="1100" b="0">
            <a:solidFill>
              <a:schemeClr val="bg1"/>
            </a:solidFill>
          </a:endParaRPr>
        </a:p>
      </xdr:txBody>
    </xdr:sp>
    <xdr:clientData/>
  </xdr:twoCellAnchor>
  <xdr:twoCellAnchor editAs="absolute">
    <xdr:from>
      <xdr:col>11</xdr:col>
      <xdr:colOff>76136</xdr:colOff>
      <xdr:row>27</xdr:row>
      <xdr:rowOff>66675</xdr:rowOff>
    </xdr:from>
    <xdr:to>
      <xdr:col>12</xdr:col>
      <xdr:colOff>219075</xdr:colOff>
      <xdr:row>29</xdr:row>
      <xdr:rowOff>76201</xdr:rowOff>
    </xdr:to>
    <xdr:sp macro="" textlink="">
      <xdr:nvSpPr>
        <xdr:cNvPr id="49" name="TextBox 48">
          <a:extLst>
            <a:ext uri="{FF2B5EF4-FFF2-40B4-BE49-F238E27FC236}">
              <a16:creationId xmlns:a16="http://schemas.microsoft.com/office/drawing/2014/main" id="{CEF4D87F-7DF7-0477-CE8A-898BD41A6DB3}"/>
            </a:ext>
          </a:extLst>
        </xdr:cNvPr>
        <xdr:cNvSpPr txBox="1"/>
      </xdr:nvSpPr>
      <xdr:spPr>
        <a:xfrm>
          <a:off x="6562661" y="5095875"/>
          <a:ext cx="733489"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AK,</a:t>
          </a:r>
          <a:r>
            <a:rPr lang="en-US" sz="1100" b="0" baseline="0">
              <a:solidFill>
                <a:schemeClr val="bg1"/>
              </a:solidFill>
            </a:rPr>
            <a:t> </a:t>
          </a:r>
          <a:r>
            <a:rPr lang="en-US" sz="1100" b="0">
              <a:solidFill>
                <a:schemeClr val="bg1"/>
              </a:solidFill>
            </a:rPr>
            <a:t>UYO-</a:t>
          </a:r>
        </a:p>
      </xdr:txBody>
    </xdr:sp>
    <xdr:clientData/>
  </xdr:twoCellAnchor>
  <xdr:twoCellAnchor editAs="absolute">
    <xdr:from>
      <xdr:col>11</xdr:col>
      <xdr:colOff>79555</xdr:colOff>
      <xdr:row>29</xdr:row>
      <xdr:rowOff>143663</xdr:rowOff>
    </xdr:from>
    <xdr:to>
      <xdr:col>12</xdr:col>
      <xdr:colOff>76201</xdr:colOff>
      <xdr:row>32</xdr:row>
      <xdr:rowOff>59055</xdr:rowOff>
    </xdr:to>
    <xdr:sp macro="" textlink="">
      <xdr:nvSpPr>
        <xdr:cNvPr id="50" name="TextBox 49">
          <a:extLst>
            <a:ext uri="{FF2B5EF4-FFF2-40B4-BE49-F238E27FC236}">
              <a16:creationId xmlns:a16="http://schemas.microsoft.com/office/drawing/2014/main" id="{C4270113-1FEC-EEB0-FEB8-C29484B9CD80}"/>
            </a:ext>
          </a:extLst>
        </xdr:cNvPr>
        <xdr:cNvSpPr txBox="1"/>
      </xdr:nvSpPr>
      <xdr:spPr>
        <a:xfrm>
          <a:off x="6566080" y="5553863"/>
          <a:ext cx="587196" cy="48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0">
              <a:solidFill>
                <a:schemeClr val="bg1"/>
              </a:solidFill>
            </a:rPr>
            <a:t>WOJI-</a:t>
          </a:r>
        </a:p>
      </xdr:txBody>
    </xdr:sp>
    <xdr:clientData/>
  </xdr:twoCellAnchor>
  <xdr:twoCellAnchor editAs="absolute">
    <xdr:from>
      <xdr:col>11</xdr:col>
      <xdr:colOff>86186</xdr:colOff>
      <xdr:row>36</xdr:row>
      <xdr:rowOff>131315</xdr:rowOff>
    </xdr:from>
    <xdr:to>
      <xdr:col>12</xdr:col>
      <xdr:colOff>175261</xdr:colOff>
      <xdr:row>38</xdr:row>
      <xdr:rowOff>61684</xdr:rowOff>
    </xdr:to>
    <xdr:sp macro="" textlink="">
      <xdr:nvSpPr>
        <xdr:cNvPr id="51" name="TextBox 50">
          <a:extLst>
            <a:ext uri="{FF2B5EF4-FFF2-40B4-BE49-F238E27FC236}">
              <a16:creationId xmlns:a16="http://schemas.microsoft.com/office/drawing/2014/main" id="{8E22C332-3463-DF59-560B-AF012043F11F}"/>
            </a:ext>
          </a:extLst>
        </xdr:cNvPr>
        <xdr:cNvSpPr txBox="1"/>
      </xdr:nvSpPr>
      <xdr:spPr>
        <a:xfrm>
          <a:off x="6572711" y="6875015"/>
          <a:ext cx="679625" cy="311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TOMY-</a:t>
          </a:r>
        </a:p>
      </xdr:txBody>
    </xdr:sp>
    <xdr:clientData/>
  </xdr:twoCellAnchor>
  <xdr:twoCellAnchor editAs="absolute">
    <xdr:from>
      <xdr:col>11</xdr:col>
      <xdr:colOff>60894</xdr:colOff>
      <xdr:row>33</xdr:row>
      <xdr:rowOff>121064</xdr:rowOff>
    </xdr:from>
    <xdr:to>
      <xdr:col>12</xdr:col>
      <xdr:colOff>457200</xdr:colOff>
      <xdr:row>35</xdr:row>
      <xdr:rowOff>52484</xdr:rowOff>
    </xdr:to>
    <xdr:sp macro="" textlink="">
      <xdr:nvSpPr>
        <xdr:cNvPr id="52" name="TextBox 51">
          <a:extLst>
            <a:ext uri="{FF2B5EF4-FFF2-40B4-BE49-F238E27FC236}">
              <a16:creationId xmlns:a16="http://schemas.microsoft.com/office/drawing/2014/main" id="{228A00EB-E013-D0B1-0EF6-D28F5942B351}"/>
            </a:ext>
          </a:extLst>
        </xdr:cNvPr>
        <xdr:cNvSpPr txBox="1"/>
      </xdr:nvSpPr>
      <xdr:spPr>
        <a:xfrm>
          <a:off x="6547419" y="6293264"/>
          <a:ext cx="986856"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AK, LAGOS -</a:t>
          </a:r>
        </a:p>
      </xdr:txBody>
    </xdr:sp>
    <xdr:clientData/>
  </xdr:twoCellAnchor>
  <xdr:twoCellAnchor editAs="absolute">
    <xdr:from>
      <xdr:col>12</xdr:col>
      <xdr:colOff>119063</xdr:colOff>
      <xdr:row>11</xdr:row>
      <xdr:rowOff>123825</xdr:rowOff>
    </xdr:from>
    <xdr:to>
      <xdr:col>13</xdr:col>
      <xdr:colOff>498215</xdr:colOff>
      <xdr:row>13</xdr:row>
      <xdr:rowOff>32385</xdr:rowOff>
    </xdr:to>
    <xdr:sp macro="" textlink="Data_Analysis!F24">
      <xdr:nvSpPr>
        <xdr:cNvPr id="55" name="TextBox 54">
          <a:extLst>
            <a:ext uri="{FF2B5EF4-FFF2-40B4-BE49-F238E27FC236}">
              <a16:creationId xmlns:a16="http://schemas.microsoft.com/office/drawing/2014/main" id="{1B1691BD-4AD7-BF9E-6C8D-36DD2FB3F8F3}"/>
            </a:ext>
          </a:extLst>
        </xdr:cNvPr>
        <xdr:cNvSpPr txBox="1"/>
      </xdr:nvSpPr>
      <xdr:spPr>
        <a:xfrm>
          <a:off x="7196138" y="2105025"/>
          <a:ext cx="1226877"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338D76E-1138-4678-AA65-DB6982820F29}" type="TxLink">
            <a:rPr lang="en-US" sz="1100" b="1" i="0" u="none" strike="noStrike">
              <a:solidFill>
                <a:schemeClr val="bg1"/>
              </a:solidFill>
              <a:latin typeface="Calibri"/>
              <a:ea typeface="Calibri"/>
              <a:cs typeface="Calibri"/>
            </a:rPr>
            <a:pPr marL="0" indent="0" algn="l"/>
            <a:t> 140,195.90 </a:t>
          </a:fld>
          <a:endParaRPr lang="en-US" sz="1100" b="1">
            <a:solidFill>
              <a:schemeClr val="bg1"/>
            </a:solidFill>
            <a:latin typeface="+mn-lt"/>
            <a:ea typeface="+mn-ea"/>
            <a:cs typeface="+mn-cs"/>
          </a:endParaRPr>
        </a:p>
      </xdr:txBody>
    </xdr:sp>
    <xdr:clientData/>
  </xdr:twoCellAnchor>
  <xdr:twoCellAnchor editAs="absolute">
    <xdr:from>
      <xdr:col>12</xdr:col>
      <xdr:colOff>119063</xdr:colOff>
      <xdr:row>14</xdr:row>
      <xdr:rowOff>89083</xdr:rowOff>
    </xdr:from>
    <xdr:to>
      <xdr:col>13</xdr:col>
      <xdr:colOff>491198</xdr:colOff>
      <xdr:row>16</xdr:row>
      <xdr:rowOff>1453</xdr:rowOff>
    </xdr:to>
    <xdr:sp macro="" textlink="Data_Analysis!$F$9">
      <xdr:nvSpPr>
        <xdr:cNvPr id="56" name="TextBox 55">
          <a:extLst>
            <a:ext uri="{FF2B5EF4-FFF2-40B4-BE49-F238E27FC236}">
              <a16:creationId xmlns:a16="http://schemas.microsoft.com/office/drawing/2014/main" id="{B0B1746C-D7D8-55B8-07E2-5CF54E0D2C88}"/>
            </a:ext>
          </a:extLst>
        </xdr:cNvPr>
        <xdr:cNvSpPr txBox="1"/>
      </xdr:nvSpPr>
      <xdr:spPr>
        <a:xfrm>
          <a:off x="7196138" y="2641783"/>
          <a:ext cx="1219860" cy="283845"/>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9DFDD28-93D5-4184-8958-A25FC9A20ECD}" type="TxLink">
            <a:rPr lang="en-US" sz="1100" b="1" i="0" u="none" strike="noStrike">
              <a:solidFill>
                <a:schemeClr val="bg1"/>
              </a:solidFill>
              <a:latin typeface="Calibri"/>
              <a:ea typeface="Calibri"/>
              <a:cs typeface="Calibri"/>
            </a:rPr>
            <a:pPr marL="0" indent="0" algn="l"/>
            <a:t> 134,577.00 </a:t>
          </a:fld>
          <a:endParaRPr lang="en-US" sz="1100" b="1" i="0" u="none" strike="noStrike">
            <a:solidFill>
              <a:schemeClr val="bg1"/>
            </a:solidFill>
            <a:latin typeface="Calibri"/>
            <a:ea typeface="Calibri"/>
            <a:cs typeface="Calibri"/>
          </a:endParaRPr>
        </a:p>
      </xdr:txBody>
    </xdr:sp>
    <xdr:clientData/>
  </xdr:twoCellAnchor>
  <xdr:twoCellAnchor editAs="absolute">
    <xdr:from>
      <xdr:col>12</xdr:col>
      <xdr:colOff>157163</xdr:colOff>
      <xdr:row>17</xdr:row>
      <xdr:rowOff>143876</xdr:rowOff>
    </xdr:from>
    <xdr:to>
      <xdr:col>13</xdr:col>
      <xdr:colOff>481013</xdr:colOff>
      <xdr:row>19</xdr:row>
      <xdr:rowOff>71486</xdr:rowOff>
    </xdr:to>
    <xdr:sp macro="" textlink="Data_Analysis!$F$27">
      <xdr:nvSpPr>
        <xdr:cNvPr id="59" name="TextBox 58">
          <a:extLst>
            <a:ext uri="{FF2B5EF4-FFF2-40B4-BE49-F238E27FC236}">
              <a16:creationId xmlns:a16="http://schemas.microsoft.com/office/drawing/2014/main" id="{606F7B4E-20FC-29B3-C449-40712EF62FF5}"/>
            </a:ext>
          </a:extLst>
        </xdr:cNvPr>
        <xdr:cNvSpPr txBox="1"/>
      </xdr:nvSpPr>
      <xdr:spPr>
        <a:xfrm>
          <a:off x="7234238" y="3268076"/>
          <a:ext cx="1171575" cy="30861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1C2017C-6598-4D0A-AE80-D2E3722422D1}" type="TxLink">
            <a:rPr lang="en-US" sz="1100" b="1" i="0" u="none" strike="noStrike">
              <a:solidFill>
                <a:schemeClr val="bg1"/>
              </a:solidFill>
              <a:latin typeface="Calibri"/>
              <a:ea typeface="Calibri"/>
              <a:cs typeface="Calibri"/>
            </a:rPr>
            <a:pPr marL="0" indent="0" algn="l"/>
            <a:t> -   </a:t>
          </a:fld>
          <a:endParaRPr lang="en-US" sz="1100" b="1" i="0" u="none" strike="noStrike">
            <a:solidFill>
              <a:schemeClr val="bg1"/>
            </a:solidFill>
            <a:latin typeface="Calibri"/>
            <a:ea typeface="Calibri"/>
            <a:cs typeface="Calibri"/>
          </a:endParaRPr>
        </a:p>
      </xdr:txBody>
    </xdr:sp>
    <xdr:clientData/>
  </xdr:twoCellAnchor>
  <xdr:twoCellAnchor editAs="absolute">
    <xdr:from>
      <xdr:col>12</xdr:col>
      <xdr:colOff>195263</xdr:colOff>
      <xdr:row>21</xdr:row>
      <xdr:rowOff>13884</xdr:rowOff>
    </xdr:from>
    <xdr:to>
      <xdr:col>13</xdr:col>
      <xdr:colOff>534321</xdr:colOff>
      <xdr:row>22</xdr:row>
      <xdr:rowOff>105324</xdr:rowOff>
    </xdr:to>
    <xdr:sp macro="" textlink="Data_Analysis!$F$15">
      <xdr:nvSpPr>
        <xdr:cNvPr id="62" name="TextBox 61">
          <a:extLst>
            <a:ext uri="{FF2B5EF4-FFF2-40B4-BE49-F238E27FC236}">
              <a16:creationId xmlns:a16="http://schemas.microsoft.com/office/drawing/2014/main" id="{C7EED095-F2B9-0244-2203-F5CB47E1544D}"/>
            </a:ext>
          </a:extLst>
        </xdr:cNvPr>
        <xdr:cNvSpPr txBox="1"/>
      </xdr:nvSpPr>
      <xdr:spPr>
        <a:xfrm>
          <a:off x="7272338" y="3900084"/>
          <a:ext cx="1186783"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673BB0F-5A66-46DF-B16D-9E74578F8B04}"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12</xdr:col>
      <xdr:colOff>185738</xdr:colOff>
      <xdr:row>24</xdr:row>
      <xdr:rowOff>104872</xdr:rowOff>
    </xdr:from>
    <xdr:to>
      <xdr:col>13</xdr:col>
      <xdr:colOff>556214</xdr:colOff>
      <xdr:row>26</xdr:row>
      <xdr:rowOff>29526</xdr:rowOff>
    </xdr:to>
    <xdr:sp macro="" textlink="Data_Analysis!$F$21">
      <xdr:nvSpPr>
        <xdr:cNvPr id="7170" name="TextBox 7169">
          <a:extLst>
            <a:ext uri="{FF2B5EF4-FFF2-40B4-BE49-F238E27FC236}">
              <a16:creationId xmlns:a16="http://schemas.microsoft.com/office/drawing/2014/main" id="{C73EE245-A050-2E19-1B27-F56E76D12DC2}"/>
            </a:ext>
          </a:extLst>
        </xdr:cNvPr>
        <xdr:cNvSpPr txBox="1"/>
      </xdr:nvSpPr>
      <xdr:spPr>
        <a:xfrm>
          <a:off x="7262813" y="4562572"/>
          <a:ext cx="1218201" cy="305654"/>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005DAE8-CD4A-49AB-9EBC-B6A5DCFF89A9}" type="TxLink">
            <a:rPr lang="en-US" sz="1100" b="1" i="0" u="none" strike="noStrike">
              <a:solidFill>
                <a:schemeClr val="bg1"/>
              </a:solidFill>
              <a:latin typeface="Calibri"/>
              <a:ea typeface="Calibri"/>
              <a:cs typeface="Calibri"/>
            </a:rPr>
            <a:pPr marL="0" indent="0" algn="l"/>
            <a:t> 782,520.00 </a:t>
          </a:fld>
          <a:endParaRPr lang="en-US" sz="1100" b="1" i="0" u="none" strike="noStrike">
            <a:solidFill>
              <a:schemeClr val="bg1"/>
            </a:solidFill>
            <a:latin typeface="Calibri"/>
            <a:ea typeface="Calibri"/>
            <a:cs typeface="Calibri"/>
          </a:endParaRPr>
        </a:p>
      </xdr:txBody>
    </xdr:sp>
    <xdr:clientData/>
  </xdr:twoCellAnchor>
  <xdr:twoCellAnchor editAs="absolute">
    <xdr:from>
      <xdr:col>12</xdr:col>
      <xdr:colOff>109538</xdr:colOff>
      <xdr:row>27</xdr:row>
      <xdr:rowOff>57649</xdr:rowOff>
    </xdr:from>
    <xdr:to>
      <xdr:col>13</xdr:col>
      <xdr:colOff>471993</xdr:colOff>
      <xdr:row>28</xdr:row>
      <xdr:rowOff>171752</xdr:rowOff>
    </xdr:to>
    <xdr:sp macro="" textlink="Data_Analysis!F33">
      <xdr:nvSpPr>
        <xdr:cNvPr id="7173" name="TextBox 7172">
          <a:extLst>
            <a:ext uri="{FF2B5EF4-FFF2-40B4-BE49-F238E27FC236}">
              <a16:creationId xmlns:a16="http://schemas.microsoft.com/office/drawing/2014/main" id="{DC97F771-F2E3-5166-7AF7-263858EDF4BD}"/>
            </a:ext>
          </a:extLst>
        </xdr:cNvPr>
        <xdr:cNvSpPr txBox="1"/>
      </xdr:nvSpPr>
      <xdr:spPr>
        <a:xfrm>
          <a:off x="7186613" y="5086849"/>
          <a:ext cx="1210180" cy="304603"/>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E046B33-22AB-4C62-9DE5-7D6DCC85AE60}"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12</xdr:col>
      <xdr:colOff>119063</xdr:colOff>
      <xdr:row>30</xdr:row>
      <xdr:rowOff>47475</xdr:rowOff>
    </xdr:from>
    <xdr:to>
      <xdr:col>13</xdr:col>
      <xdr:colOff>472252</xdr:colOff>
      <xdr:row>31</xdr:row>
      <xdr:rowOff>161578</xdr:rowOff>
    </xdr:to>
    <xdr:sp macro="" textlink="Data_Analysis!$F$12">
      <xdr:nvSpPr>
        <xdr:cNvPr id="7176" name="TextBox 7175">
          <a:extLst>
            <a:ext uri="{FF2B5EF4-FFF2-40B4-BE49-F238E27FC236}">
              <a16:creationId xmlns:a16="http://schemas.microsoft.com/office/drawing/2014/main" id="{21CD5223-3DD6-8BDD-BF9F-2EB0537B6A76}"/>
            </a:ext>
          </a:extLst>
        </xdr:cNvPr>
        <xdr:cNvSpPr txBox="1"/>
      </xdr:nvSpPr>
      <xdr:spPr>
        <a:xfrm>
          <a:off x="7196138" y="5648175"/>
          <a:ext cx="1200914" cy="304603"/>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9B60353-C83B-4C80-8940-25CFCFAC16CB}" type="TxLink">
            <a:rPr lang="en-US" sz="1100" b="1" i="0" u="none" strike="noStrike">
              <a:solidFill>
                <a:schemeClr val="bg1"/>
              </a:solidFill>
              <a:latin typeface="Calibri"/>
              <a:ea typeface="Calibri"/>
              <a:cs typeface="Calibri"/>
            </a:rPr>
            <a:pPr marL="0" indent="0" algn="l"/>
            <a:t> -   </a:t>
          </a:fld>
          <a:endParaRPr lang="en-US" sz="1100" b="1" i="0" u="none" strike="noStrike">
            <a:solidFill>
              <a:schemeClr val="bg1"/>
            </a:solidFill>
            <a:latin typeface="Calibri"/>
            <a:ea typeface="Calibri"/>
            <a:cs typeface="Calibri"/>
          </a:endParaRPr>
        </a:p>
      </xdr:txBody>
    </xdr:sp>
    <xdr:clientData/>
  </xdr:twoCellAnchor>
  <xdr:twoCellAnchor editAs="absolute">
    <xdr:from>
      <xdr:col>12</xdr:col>
      <xdr:colOff>242888</xdr:colOff>
      <xdr:row>36</xdr:row>
      <xdr:rowOff>139525</xdr:rowOff>
    </xdr:from>
    <xdr:to>
      <xdr:col>13</xdr:col>
      <xdr:colOff>640597</xdr:colOff>
      <xdr:row>38</xdr:row>
      <xdr:rowOff>71799</xdr:rowOff>
    </xdr:to>
    <xdr:sp macro="" textlink="Data_Analysis!$F$18">
      <xdr:nvSpPr>
        <xdr:cNvPr id="7177" name="TextBox 7176">
          <a:extLst>
            <a:ext uri="{FF2B5EF4-FFF2-40B4-BE49-F238E27FC236}">
              <a16:creationId xmlns:a16="http://schemas.microsoft.com/office/drawing/2014/main" id="{03F5604B-39FA-DF8F-B6E5-AB3890B14634}"/>
            </a:ext>
          </a:extLst>
        </xdr:cNvPr>
        <xdr:cNvSpPr txBox="1"/>
      </xdr:nvSpPr>
      <xdr:spPr>
        <a:xfrm>
          <a:off x="7319963" y="6883225"/>
          <a:ext cx="1245434" cy="313274"/>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00D768F-4935-4DD6-9C7E-3BA5EB11191F}"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12</xdr:col>
      <xdr:colOff>376238</xdr:colOff>
      <xdr:row>33</xdr:row>
      <xdr:rowOff>84926</xdr:rowOff>
    </xdr:from>
    <xdr:to>
      <xdr:col>13</xdr:col>
      <xdr:colOff>676275</xdr:colOff>
      <xdr:row>35</xdr:row>
      <xdr:rowOff>16149</xdr:rowOff>
    </xdr:to>
    <xdr:sp macro="" textlink="">
      <xdr:nvSpPr>
        <xdr:cNvPr id="7182" name="TextBox 7181">
          <a:extLst>
            <a:ext uri="{FF2B5EF4-FFF2-40B4-BE49-F238E27FC236}">
              <a16:creationId xmlns:a16="http://schemas.microsoft.com/office/drawing/2014/main" id="{23F47F35-8AA5-811F-4272-8E0EACB8A318}"/>
            </a:ext>
          </a:extLst>
        </xdr:cNvPr>
        <xdr:cNvSpPr txBox="1"/>
      </xdr:nvSpPr>
      <xdr:spPr>
        <a:xfrm>
          <a:off x="7453313" y="6257126"/>
          <a:ext cx="1147762" cy="312223"/>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editAs="absolute">
    <xdr:from>
      <xdr:col>11</xdr:col>
      <xdr:colOff>85724</xdr:colOff>
      <xdr:row>3</xdr:row>
      <xdr:rowOff>106680</xdr:rowOff>
    </xdr:from>
    <xdr:to>
      <xdr:col>13</xdr:col>
      <xdr:colOff>1295400</xdr:colOff>
      <xdr:row>8</xdr:row>
      <xdr:rowOff>19050</xdr:rowOff>
    </xdr:to>
    <xdr:grpSp>
      <xdr:nvGrpSpPr>
        <xdr:cNvPr id="7233" name="Group 7232">
          <a:extLst>
            <a:ext uri="{FF2B5EF4-FFF2-40B4-BE49-F238E27FC236}">
              <a16:creationId xmlns:a16="http://schemas.microsoft.com/office/drawing/2014/main" id="{98DDDCFB-3847-9F8B-4592-0A48C649B9DE}"/>
            </a:ext>
          </a:extLst>
        </xdr:cNvPr>
        <xdr:cNvGrpSpPr/>
      </xdr:nvGrpSpPr>
      <xdr:grpSpPr>
        <a:xfrm>
          <a:off x="6899274" y="646430"/>
          <a:ext cx="2711451" cy="820420"/>
          <a:chOff x="6572249" y="678180"/>
          <a:chExt cx="2647951" cy="864870"/>
        </a:xfrm>
      </xdr:grpSpPr>
      <xdr:sp macro="" textlink="">
        <xdr:nvSpPr>
          <xdr:cNvPr id="8" name="Rectangle: Rounded Corners 7">
            <a:extLst>
              <a:ext uri="{FF2B5EF4-FFF2-40B4-BE49-F238E27FC236}">
                <a16:creationId xmlns:a16="http://schemas.microsoft.com/office/drawing/2014/main" id="{09755F73-660E-8315-1D57-E3D11D7374A1}"/>
              </a:ext>
            </a:extLst>
          </xdr:cNvPr>
          <xdr:cNvSpPr/>
        </xdr:nvSpPr>
        <xdr:spPr>
          <a:xfrm>
            <a:off x="6572249" y="678180"/>
            <a:ext cx="2647951" cy="864870"/>
          </a:xfrm>
          <a:prstGeom prst="roundRect">
            <a:avLst>
              <a:gd name="adj" fmla="val 1750"/>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3484DE44-052B-FFC1-711E-A950F33A8025}"/>
              </a:ext>
            </a:extLst>
          </xdr:cNvPr>
          <xdr:cNvSpPr txBox="1"/>
        </xdr:nvSpPr>
        <xdr:spPr>
          <a:xfrm>
            <a:off x="6587490" y="685800"/>
            <a:ext cx="263271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Equipment Maintenance Cost</a:t>
            </a:r>
          </a:p>
        </xdr:txBody>
      </xdr:sp>
      <xdr:sp macro="" textlink="Data_Analysis!B7">
        <xdr:nvSpPr>
          <xdr:cNvPr id="7185" name="TextBox 7184">
            <a:extLst>
              <a:ext uri="{FF2B5EF4-FFF2-40B4-BE49-F238E27FC236}">
                <a16:creationId xmlns:a16="http://schemas.microsoft.com/office/drawing/2014/main" id="{26754354-FF81-C309-A8A9-559D5464FC94}"/>
              </a:ext>
            </a:extLst>
          </xdr:cNvPr>
          <xdr:cNvSpPr txBox="1"/>
        </xdr:nvSpPr>
        <xdr:spPr>
          <a:xfrm>
            <a:off x="6606540" y="1047750"/>
            <a:ext cx="23545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3C1599-5D2B-4F0B-B515-01125BF94B72}" type="TxLink">
              <a:rPr lang="en-US" sz="2400" b="1" i="0" u="none" strike="noStrike">
                <a:solidFill>
                  <a:schemeClr val="bg1"/>
                </a:solidFill>
                <a:latin typeface="Calibri"/>
                <a:ea typeface="LATO BLACK" panose="020F0502020204030203" pitchFamily="34" charset="0"/>
                <a:cs typeface="Calibri"/>
              </a:rPr>
              <a:pPr marL="0" indent="0" algn="ctr"/>
              <a:t> 1,686,262.90 </a:t>
            </a:fld>
            <a:endParaRPr lang="en-US" sz="2400" b="1" i="0" u="none" strike="noStrike">
              <a:solidFill>
                <a:schemeClr val="bg1"/>
              </a:solidFill>
              <a:latin typeface="Calibri"/>
              <a:ea typeface="LATO BLACK" panose="020F0502020204030203" pitchFamily="34" charset="0"/>
              <a:cs typeface="Calibri"/>
            </a:endParaRPr>
          </a:p>
        </xdr:txBody>
      </xdr:sp>
    </xdr:grpSp>
    <xdr:clientData/>
  </xdr:twoCellAnchor>
  <xdr:twoCellAnchor editAs="absolute">
    <xdr:from>
      <xdr:col>14</xdr:col>
      <xdr:colOff>57151</xdr:colOff>
      <xdr:row>3</xdr:row>
      <xdr:rowOff>99059</xdr:rowOff>
    </xdr:from>
    <xdr:to>
      <xdr:col>17</xdr:col>
      <xdr:colOff>805816</xdr:colOff>
      <xdr:row>8</xdr:row>
      <xdr:rowOff>28574</xdr:rowOff>
    </xdr:to>
    <xdr:grpSp>
      <xdr:nvGrpSpPr>
        <xdr:cNvPr id="7260" name="Group 7259">
          <a:extLst>
            <a:ext uri="{FF2B5EF4-FFF2-40B4-BE49-F238E27FC236}">
              <a16:creationId xmlns:a16="http://schemas.microsoft.com/office/drawing/2014/main" id="{BF58942E-12E2-6F59-CE8C-3E0CE7C4E240}"/>
            </a:ext>
          </a:extLst>
        </xdr:cNvPr>
        <xdr:cNvGrpSpPr/>
      </xdr:nvGrpSpPr>
      <xdr:grpSpPr>
        <a:xfrm>
          <a:off x="9820276" y="645159"/>
          <a:ext cx="3418840" cy="834390"/>
          <a:chOff x="9363076" y="670559"/>
          <a:chExt cx="3291840" cy="882015"/>
        </a:xfrm>
      </xdr:grpSpPr>
      <xdr:sp macro="" textlink="">
        <xdr:nvSpPr>
          <xdr:cNvPr id="10" name="Rectangle: Rounded Corners 9">
            <a:extLst>
              <a:ext uri="{FF2B5EF4-FFF2-40B4-BE49-F238E27FC236}">
                <a16:creationId xmlns:a16="http://schemas.microsoft.com/office/drawing/2014/main" id="{3CBC5C00-A642-DB26-A077-DB76DDE5F497}"/>
              </a:ext>
            </a:extLst>
          </xdr:cNvPr>
          <xdr:cNvSpPr/>
        </xdr:nvSpPr>
        <xdr:spPr>
          <a:xfrm>
            <a:off x="9363076" y="670559"/>
            <a:ext cx="3291840" cy="882015"/>
          </a:xfrm>
          <a:prstGeom prst="roundRect">
            <a:avLst>
              <a:gd name="adj" fmla="val 1750"/>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A567DACA-0710-48E9-398D-4D7B617C28F5}"/>
              </a:ext>
            </a:extLst>
          </xdr:cNvPr>
          <xdr:cNvSpPr txBox="1"/>
        </xdr:nvSpPr>
        <xdr:spPr>
          <a:xfrm>
            <a:off x="9772650" y="714375"/>
            <a:ext cx="24212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Facility Maintenance Cost</a:t>
            </a:r>
          </a:p>
        </xdr:txBody>
      </xdr:sp>
      <xdr:sp macro="" textlink="Data_Analysis!Y7">
        <xdr:nvSpPr>
          <xdr:cNvPr id="7186" name="TextBox 7185">
            <a:extLst>
              <a:ext uri="{FF2B5EF4-FFF2-40B4-BE49-F238E27FC236}">
                <a16:creationId xmlns:a16="http://schemas.microsoft.com/office/drawing/2014/main" id="{9309ED38-33F5-5203-05BF-15351B423ADC}"/>
              </a:ext>
            </a:extLst>
          </xdr:cNvPr>
          <xdr:cNvSpPr txBox="1"/>
        </xdr:nvSpPr>
        <xdr:spPr>
          <a:xfrm>
            <a:off x="9530716" y="1038225"/>
            <a:ext cx="2604134"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A83311-3A89-4D61-A75D-58127AD011C2}" type="TxLink">
              <a:rPr lang="en-US" sz="2400" b="1" i="0" u="none" strike="noStrike">
                <a:solidFill>
                  <a:schemeClr val="bg1"/>
                </a:solidFill>
                <a:latin typeface="Calibri"/>
                <a:ea typeface="LATO BLACK" panose="020F0502020204030203" pitchFamily="34" charset="0"/>
                <a:cs typeface="Calibri"/>
              </a:rPr>
              <a:pPr marL="0" indent="0" algn="ctr"/>
              <a:t> -   </a:t>
            </a:fld>
            <a:endParaRPr lang="en-US" sz="2400" b="1" i="0" u="none" strike="noStrike">
              <a:solidFill>
                <a:schemeClr val="bg1"/>
              </a:solidFill>
              <a:latin typeface="Calibri"/>
              <a:ea typeface="LATO BLACK" panose="020F0502020204030203" pitchFamily="34" charset="0"/>
              <a:cs typeface="Calibri"/>
            </a:endParaRPr>
          </a:p>
        </xdr:txBody>
      </xdr:sp>
    </xdr:grpSp>
    <xdr:clientData/>
  </xdr:twoCellAnchor>
  <xdr:twoCellAnchor editAs="absolute">
    <xdr:from>
      <xdr:col>14</xdr:col>
      <xdr:colOff>85725</xdr:colOff>
      <xdr:row>10</xdr:row>
      <xdr:rowOff>62865</xdr:rowOff>
    </xdr:from>
    <xdr:to>
      <xdr:col>17</xdr:col>
      <xdr:colOff>782955</xdr:colOff>
      <xdr:row>13</xdr:row>
      <xdr:rowOff>129540</xdr:rowOff>
    </xdr:to>
    <xdr:sp macro="" textlink="">
      <xdr:nvSpPr>
        <xdr:cNvPr id="7187" name="Rectangle: Rounded Corners 7186">
          <a:extLst>
            <a:ext uri="{FF2B5EF4-FFF2-40B4-BE49-F238E27FC236}">
              <a16:creationId xmlns:a16="http://schemas.microsoft.com/office/drawing/2014/main" id="{23224329-5277-55A6-109C-DD18D6396A1A}"/>
            </a:ext>
          </a:extLst>
        </xdr:cNvPr>
        <xdr:cNvSpPr/>
      </xdr:nvSpPr>
      <xdr:spPr>
        <a:xfrm>
          <a:off x="9486900" y="1813560"/>
          <a:ext cx="2354580" cy="51054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88582</xdr:colOff>
      <xdr:row>14</xdr:row>
      <xdr:rowOff>30480</xdr:rowOff>
    </xdr:from>
    <xdr:to>
      <xdr:col>17</xdr:col>
      <xdr:colOff>785812</xdr:colOff>
      <xdr:row>16</xdr:row>
      <xdr:rowOff>175260</xdr:rowOff>
    </xdr:to>
    <xdr:sp macro="" textlink="">
      <xdr:nvSpPr>
        <xdr:cNvPr id="7188" name="Rectangle: Rounded Corners 7187">
          <a:extLst>
            <a:ext uri="{FF2B5EF4-FFF2-40B4-BE49-F238E27FC236}">
              <a16:creationId xmlns:a16="http://schemas.microsoft.com/office/drawing/2014/main" id="{70769AD9-4ECF-A3B8-F2B8-972DBA3F04BB}"/>
            </a:ext>
          </a:extLst>
        </xdr:cNvPr>
        <xdr:cNvSpPr/>
      </xdr:nvSpPr>
      <xdr:spPr>
        <a:xfrm>
          <a:off x="9394507" y="2583180"/>
          <a:ext cx="3240405" cy="52578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editAs="absolute">
    <xdr:from>
      <xdr:col>14</xdr:col>
      <xdr:colOff>92390</xdr:colOff>
      <xdr:row>17</xdr:row>
      <xdr:rowOff>76200</xdr:rowOff>
    </xdr:from>
    <xdr:to>
      <xdr:col>17</xdr:col>
      <xdr:colOff>789620</xdr:colOff>
      <xdr:row>20</xdr:row>
      <xdr:rowOff>38100</xdr:rowOff>
    </xdr:to>
    <xdr:sp macro="" textlink="">
      <xdr:nvSpPr>
        <xdr:cNvPr id="7189" name="Rectangle: Rounded Corners 7188">
          <a:extLst>
            <a:ext uri="{FF2B5EF4-FFF2-40B4-BE49-F238E27FC236}">
              <a16:creationId xmlns:a16="http://schemas.microsoft.com/office/drawing/2014/main" id="{FB5FE1AE-D902-DC16-39A3-87FCE37EA0F0}"/>
            </a:ext>
          </a:extLst>
        </xdr:cNvPr>
        <xdr:cNvSpPr/>
      </xdr:nvSpPr>
      <xdr:spPr>
        <a:xfrm>
          <a:off x="9398315" y="3200400"/>
          <a:ext cx="3240405" cy="53340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98104</xdr:colOff>
      <xdr:row>20</xdr:row>
      <xdr:rowOff>112394</xdr:rowOff>
    </xdr:from>
    <xdr:to>
      <xdr:col>17</xdr:col>
      <xdr:colOff>795334</xdr:colOff>
      <xdr:row>23</xdr:row>
      <xdr:rowOff>74294</xdr:rowOff>
    </xdr:to>
    <xdr:sp macro="" textlink="">
      <xdr:nvSpPr>
        <xdr:cNvPr id="7190" name="Rectangle: Rounded Corners 7189">
          <a:extLst>
            <a:ext uri="{FF2B5EF4-FFF2-40B4-BE49-F238E27FC236}">
              <a16:creationId xmlns:a16="http://schemas.microsoft.com/office/drawing/2014/main" id="{2FC3250C-1E59-DA64-E7E3-DA5C0D95AB4E}"/>
            </a:ext>
          </a:extLst>
        </xdr:cNvPr>
        <xdr:cNvSpPr/>
      </xdr:nvSpPr>
      <xdr:spPr>
        <a:xfrm>
          <a:off x="9499279" y="3587114"/>
          <a:ext cx="2354580" cy="51054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104645</xdr:colOff>
      <xdr:row>23</xdr:row>
      <xdr:rowOff>167640</xdr:rowOff>
    </xdr:from>
    <xdr:to>
      <xdr:col>17</xdr:col>
      <xdr:colOff>801875</xdr:colOff>
      <xdr:row>26</xdr:row>
      <xdr:rowOff>129540</xdr:rowOff>
    </xdr:to>
    <xdr:sp macro="" textlink="">
      <xdr:nvSpPr>
        <xdr:cNvPr id="7191" name="Rectangle: Rounded Corners 7190">
          <a:extLst>
            <a:ext uri="{FF2B5EF4-FFF2-40B4-BE49-F238E27FC236}">
              <a16:creationId xmlns:a16="http://schemas.microsoft.com/office/drawing/2014/main" id="{47EF4599-31FF-1BE1-2942-C585F630990A}"/>
            </a:ext>
          </a:extLst>
        </xdr:cNvPr>
        <xdr:cNvSpPr/>
      </xdr:nvSpPr>
      <xdr:spPr>
        <a:xfrm>
          <a:off x="9505820" y="4191000"/>
          <a:ext cx="2354580" cy="51054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119885</xdr:colOff>
      <xdr:row>27</xdr:row>
      <xdr:rowOff>1</xdr:rowOff>
    </xdr:from>
    <xdr:to>
      <xdr:col>17</xdr:col>
      <xdr:colOff>817115</xdr:colOff>
      <xdr:row>29</xdr:row>
      <xdr:rowOff>143730</xdr:rowOff>
    </xdr:to>
    <xdr:sp macro="" textlink="">
      <xdr:nvSpPr>
        <xdr:cNvPr id="7192" name="Rectangle: Rounded Corners 7191">
          <a:extLst>
            <a:ext uri="{FF2B5EF4-FFF2-40B4-BE49-F238E27FC236}">
              <a16:creationId xmlns:a16="http://schemas.microsoft.com/office/drawing/2014/main" id="{0120C14A-8C3E-AA4C-0951-8795C60672C2}"/>
            </a:ext>
          </a:extLst>
        </xdr:cNvPr>
        <xdr:cNvSpPr/>
      </xdr:nvSpPr>
      <xdr:spPr>
        <a:xfrm>
          <a:off x="9425810" y="5029201"/>
          <a:ext cx="3240405" cy="524729"/>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124616</xdr:colOff>
      <xdr:row>30</xdr:row>
      <xdr:rowOff>18394</xdr:rowOff>
    </xdr:from>
    <xdr:to>
      <xdr:col>17</xdr:col>
      <xdr:colOff>821846</xdr:colOff>
      <xdr:row>32</xdr:row>
      <xdr:rowOff>164225</xdr:rowOff>
    </xdr:to>
    <xdr:sp macro="" textlink="">
      <xdr:nvSpPr>
        <xdr:cNvPr id="7193" name="Rectangle: Rounded Corners 7192">
          <a:extLst>
            <a:ext uri="{FF2B5EF4-FFF2-40B4-BE49-F238E27FC236}">
              <a16:creationId xmlns:a16="http://schemas.microsoft.com/office/drawing/2014/main" id="{337A9DC2-4CD1-6F21-2C3D-DAFB7B5F52FC}"/>
            </a:ext>
          </a:extLst>
        </xdr:cNvPr>
        <xdr:cNvSpPr/>
      </xdr:nvSpPr>
      <xdr:spPr>
        <a:xfrm>
          <a:off x="9525791" y="5321914"/>
          <a:ext cx="2354580" cy="511591"/>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129343</xdr:colOff>
      <xdr:row>33</xdr:row>
      <xdr:rowOff>32582</xdr:rowOff>
    </xdr:from>
    <xdr:to>
      <xdr:col>17</xdr:col>
      <xdr:colOff>826573</xdr:colOff>
      <xdr:row>35</xdr:row>
      <xdr:rowOff>178413</xdr:rowOff>
    </xdr:to>
    <xdr:sp macro="" textlink="">
      <xdr:nvSpPr>
        <xdr:cNvPr id="7194" name="Rectangle: Rounded Corners 7193">
          <a:extLst>
            <a:ext uri="{FF2B5EF4-FFF2-40B4-BE49-F238E27FC236}">
              <a16:creationId xmlns:a16="http://schemas.microsoft.com/office/drawing/2014/main" id="{CA0C8CA5-DA68-BDEB-FAB4-E1F93FFB9867}"/>
            </a:ext>
          </a:extLst>
        </xdr:cNvPr>
        <xdr:cNvSpPr/>
      </xdr:nvSpPr>
      <xdr:spPr>
        <a:xfrm>
          <a:off x="9530518" y="5884742"/>
          <a:ext cx="2354580" cy="511591"/>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123562</xdr:colOff>
      <xdr:row>36</xdr:row>
      <xdr:rowOff>57282</xdr:rowOff>
    </xdr:from>
    <xdr:to>
      <xdr:col>17</xdr:col>
      <xdr:colOff>820792</xdr:colOff>
      <xdr:row>39</xdr:row>
      <xdr:rowOff>19182</xdr:rowOff>
    </xdr:to>
    <xdr:sp macro="" textlink="">
      <xdr:nvSpPr>
        <xdr:cNvPr id="7195" name="Rectangle: Rounded Corners 7194">
          <a:extLst>
            <a:ext uri="{FF2B5EF4-FFF2-40B4-BE49-F238E27FC236}">
              <a16:creationId xmlns:a16="http://schemas.microsoft.com/office/drawing/2014/main" id="{3DB534C6-0EAC-ED4A-E300-AFAC8FC61B56}"/>
            </a:ext>
          </a:extLst>
        </xdr:cNvPr>
        <xdr:cNvSpPr/>
      </xdr:nvSpPr>
      <xdr:spPr>
        <a:xfrm>
          <a:off x="9524737" y="6458082"/>
          <a:ext cx="2354580" cy="51054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123562</xdr:colOff>
      <xdr:row>39</xdr:row>
      <xdr:rowOff>103002</xdr:rowOff>
    </xdr:from>
    <xdr:to>
      <xdr:col>17</xdr:col>
      <xdr:colOff>820792</xdr:colOff>
      <xdr:row>42</xdr:row>
      <xdr:rowOff>64902</xdr:rowOff>
    </xdr:to>
    <xdr:sp macro="" textlink="">
      <xdr:nvSpPr>
        <xdr:cNvPr id="7196" name="Rectangle: Rounded Corners 7195">
          <a:extLst>
            <a:ext uri="{FF2B5EF4-FFF2-40B4-BE49-F238E27FC236}">
              <a16:creationId xmlns:a16="http://schemas.microsoft.com/office/drawing/2014/main" id="{4DBFD1BA-B760-A229-40CC-B01D09F9B9E5}"/>
            </a:ext>
          </a:extLst>
        </xdr:cNvPr>
        <xdr:cNvSpPr/>
      </xdr:nvSpPr>
      <xdr:spPr>
        <a:xfrm>
          <a:off x="9524737" y="7052442"/>
          <a:ext cx="2354580" cy="51054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137160</xdr:colOff>
      <xdr:row>11</xdr:row>
      <xdr:rowOff>89535</xdr:rowOff>
    </xdr:from>
    <xdr:to>
      <xdr:col>15</xdr:col>
      <xdr:colOff>28575</xdr:colOff>
      <xdr:row>13</xdr:row>
      <xdr:rowOff>20955</xdr:rowOff>
    </xdr:to>
    <xdr:sp macro="" textlink="">
      <xdr:nvSpPr>
        <xdr:cNvPr id="7197" name="TextBox 7196">
          <a:extLst>
            <a:ext uri="{FF2B5EF4-FFF2-40B4-BE49-F238E27FC236}">
              <a16:creationId xmlns:a16="http://schemas.microsoft.com/office/drawing/2014/main" id="{5BF3EA88-B4AA-6227-4855-1281ABFE514E}"/>
            </a:ext>
          </a:extLst>
        </xdr:cNvPr>
        <xdr:cNvSpPr txBox="1"/>
      </xdr:nvSpPr>
      <xdr:spPr>
        <a:xfrm>
          <a:off x="9443085" y="2070735"/>
          <a:ext cx="68199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DGS - </a:t>
          </a:r>
        </a:p>
      </xdr:txBody>
    </xdr:sp>
    <xdr:clientData/>
  </xdr:twoCellAnchor>
  <xdr:twoCellAnchor editAs="absolute">
    <xdr:from>
      <xdr:col>14</xdr:col>
      <xdr:colOff>155253</xdr:colOff>
      <xdr:row>14</xdr:row>
      <xdr:rowOff>146685</xdr:rowOff>
    </xdr:from>
    <xdr:to>
      <xdr:col>14</xdr:col>
      <xdr:colOff>762000</xdr:colOff>
      <xdr:row>16</xdr:row>
      <xdr:rowOff>78105</xdr:rowOff>
    </xdr:to>
    <xdr:sp macro="" textlink="">
      <xdr:nvSpPr>
        <xdr:cNvPr id="7198" name="TextBox 7197">
          <a:extLst>
            <a:ext uri="{FF2B5EF4-FFF2-40B4-BE49-F238E27FC236}">
              <a16:creationId xmlns:a16="http://schemas.microsoft.com/office/drawing/2014/main" id="{4127CDE2-5C6C-73D1-D0BE-8FD02854740F}"/>
            </a:ext>
          </a:extLst>
        </xdr:cNvPr>
        <xdr:cNvSpPr txBox="1"/>
      </xdr:nvSpPr>
      <xdr:spPr>
        <a:xfrm>
          <a:off x="9461178" y="2699385"/>
          <a:ext cx="606747"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solidFill>
                <a:schemeClr val="bg1"/>
              </a:solidFill>
              <a:latin typeface="+mn-lt"/>
              <a:ea typeface="+mn-ea"/>
              <a:cs typeface="+mn-cs"/>
            </a:rPr>
            <a:t>DR -</a:t>
          </a:r>
        </a:p>
      </xdr:txBody>
    </xdr:sp>
    <xdr:clientData/>
  </xdr:twoCellAnchor>
  <xdr:twoCellAnchor editAs="absolute">
    <xdr:from>
      <xdr:col>14</xdr:col>
      <xdr:colOff>187627</xdr:colOff>
      <xdr:row>17</xdr:row>
      <xdr:rowOff>179070</xdr:rowOff>
    </xdr:from>
    <xdr:to>
      <xdr:col>15</xdr:col>
      <xdr:colOff>28576</xdr:colOff>
      <xdr:row>19</xdr:row>
      <xdr:rowOff>110490</xdr:rowOff>
    </xdr:to>
    <xdr:sp macro="" textlink="">
      <xdr:nvSpPr>
        <xdr:cNvPr id="7199" name="TextBox 7198">
          <a:extLst>
            <a:ext uri="{FF2B5EF4-FFF2-40B4-BE49-F238E27FC236}">
              <a16:creationId xmlns:a16="http://schemas.microsoft.com/office/drawing/2014/main" id="{307E8149-A27E-5DD1-DA4A-462B5C241CEC}"/>
            </a:ext>
          </a:extLst>
        </xdr:cNvPr>
        <xdr:cNvSpPr txBox="1"/>
      </xdr:nvSpPr>
      <xdr:spPr>
        <a:xfrm>
          <a:off x="9493552" y="3303270"/>
          <a:ext cx="631524"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solidFill>
                <a:schemeClr val="bg1"/>
              </a:solidFill>
              <a:latin typeface="+mn-lt"/>
              <a:ea typeface="+mn-ea"/>
              <a:cs typeface="+mn-cs"/>
            </a:rPr>
            <a:t>GML-</a:t>
          </a:r>
        </a:p>
      </xdr:txBody>
    </xdr:sp>
    <xdr:clientData/>
  </xdr:twoCellAnchor>
  <xdr:twoCellAnchor editAs="absolute">
    <xdr:from>
      <xdr:col>14</xdr:col>
      <xdr:colOff>169073</xdr:colOff>
      <xdr:row>20</xdr:row>
      <xdr:rowOff>123826</xdr:rowOff>
    </xdr:from>
    <xdr:to>
      <xdr:col>15</xdr:col>
      <xdr:colOff>104775</xdr:colOff>
      <xdr:row>23</xdr:row>
      <xdr:rowOff>95250</xdr:rowOff>
    </xdr:to>
    <xdr:sp macro="" textlink="">
      <xdr:nvSpPr>
        <xdr:cNvPr id="7200" name="TextBox 7199">
          <a:extLst>
            <a:ext uri="{FF2B5EF4-FFF2-40B4-BE49-F238E27FC236}">
              <a16:creationId xmlns:a16="http://schemas.microsoft.com/office/drawing/2014/main" id="{44C63CA0-2798-F4F2-3E1F-17ED2023F0AE}"/>
            </a:ext>
          </a:extLst>
        </xdr:cNvPr>
        <xdr:cNvSpPr txBox="1"/>
      </xdr:nvSpPr>
      <xdr:spPr>
        <a:xfrm>
          <a:off x="9474998" y="3819526"/>
          <a:ext cx="726277"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mn-lt"/>
              <a:ea typeface="+mn-ea"/>
              <a:cs typeface="+mn-cs"/>
            </a:rPr>
            <a:t>LAGOS OFFICE</a:t>
          </a:r>
          <a:r>
            <a:rPr lang="en-US" sz="1400" b="0">
              <a:solidFill>
                <a:schemeClr val="bg1"/>
              </a:solidFill>
            </a:rPr>
            <a:t> -</a:t>
          </a:r>
        </a:p>
      </xdr:txBody>
    </xdr:sp>
    <xdr:clientData/>
  </xdr:twoCellAnchor>
  <xdr:twoCellAnchor editAs="absolute">
    <xdr:from>
      <xdr:col>14</xdr:col>
      <xdr:colOff>171913</xdr:colOff>
      <xdr:row>24</xdr:row>
      <xdr:rowOff>21479</xdr:rowOff>
    </xdr:from>
    <xdr:to>
      <xdr:col>15</xdr:col>
      <xdr:colOff>123826</xdr:colOff>
      <xdr:row>26</xdr:row>
      <xdr:rowOff>126585</xdr:rowOff>
    </xdr:to>
    <xdr:sp macro="" textlink="">
      <xdr:nvSpPr>
        <xdr:cNvPr id="7201" name="TextBox 7200">
          <a:extLst>
            <a:ext uri="{FF2B5EF4-FFF2-40B4-BE49-F238E27FC236}">
              <a16:creationId xmlns:a16="http://schemas.microsoft.com/office/drawing/2014/main" id="{11B7475A-370E-1579-2360-F9C9FD368E25}"/>
            </a:ext>
          </a:extLst>
        </xdr:cNvPr>
        <xdr:cNvSpPr txBox="1"/>
      </xdr:nvSpPr>
      <xdr:spPr>
        <a:xfrm>
          <a:off x="9477838" y="4479179"/>
          <a:ext cx="742488" cy="486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mn-lt"/>
              <a:ea typeface="+mn-ea"/>
              <a:cs typeface="+mn-cs"/>
            </a:rPr>
            <a:t>PHC </a:t>
          </a:r>
          <a:r>
            <a:rPr lang="en-US" sz="1100" b="0" baseline="0">
              <a:solidFill>
                <a:schemeClr val="bg1"/>
              </a:solidFill>
            </a:rPr>
            <a:t> </a:t>
          </a:r>
        </a:p>
        <a:p>
          <a:r>
            <a:rPr lang="en-US" sz="1100" b="0" baseline="0">
              <a:solidFill>
                <a:schemeClr val="bg1"/>
              </a:solidFill>
            </a:rPr>
            <a:t>OFFICE -</a:t>
          </a:r>
          <a:endParaRPr lang="en-US" sz="1100" b="0">
            <a:solidFill>
              <a:schemeClr val="bg1"/>
            </a:solidFill>
          </a:endParaRPr>
        </a:p>
      </xdr:txBody>
    </xdr:sp>
    <xdr:clientData/>
  </xdr:twoCellAnchor>
  <xdr:twoCellAnchor editAs="absolute">
    <xdr:from>
      <xdr:col>14</xdr:col>
      <xdr:colOff>222822</xdr:colOff>
      <xdr:row>30</xdr:row>
      <xdr:rowOff>100965</xdr:rowOff>
    </xdr:from>
    <xdr:to>
      <xdr:col>15</xdr:col>
      <xdr:colOff>57151</xdr:colOff>
      <xdr:row>32</xdr:row>
      <xdr:rowOff>24765</xdr:rowOff>
    </xdr:to>
    <xdr:sp macro="" textlink="">
      <xdr:nvSpPr>
        <xdr:cNvPr id="7202" name="TextBox 7201">
          <a:extLst>
            <a:ext uri="{FF2B5EF4-FFF2-40B4-BE49-F238E27FC236}">
              <a16:creationId xmlns:a16="http://schemas.microsoft.com/office/drawing/2014/main" id="{E9298477-7946-A89A-E994-992C661713D5}"/>
            </a:ext>
          </a:extLst>
        </xdr:cNvPr>
        <xdr:cNvSpPr txBox="1"/>
      </xdr:nvSpPr>
      <xdr:spPr>
        <a:xfrm>
          <a:off x="9528747" y="5701665"/>
          <a:ext cx="62490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mn-lt"/>
              <a:ea typeface="+mn-ea"/>
              <a:cs typeface="+mn-cs"/>
            </a:rPr>
            <a:t>WOJI</a:t>
          </a:r>
          <a:r>
            <a:rPr lang="en-US" sz="1400" b="0">
              <a:solidFill>
                <a:schemeClr val="bg1"/>
              </a:solidFill>
            </a:rPr>
            <a:t> -</a:t>
          </a:r>
        </a:p>
      </xdr:txBody>
    </xdr:sp>
    <xdr:clientData/>
  </xdr:twoCellAnchor>
  <xdr:twoCellAnchor editAs="absolute">
    <xdr:from>
      <xdr:col>14</xdr:col>
      <xdr:colOff>203380</xdr:colOff>
      <xdr:row>27</xdr:row>
      <xdr:rowOff>113183</xdr:rowOff>
    </xdr:from>
    <xdr:to>
      <xdr:col>15</xdr:col>
      <xdr:colOff>190501</xdr:colOff>
      <xdr:row>29</xdr:row>
      <xdr:rowOff>57150</xdr:rowOff>
    </xdr:to>
    <xdr:sp macro="" textlink="">
      <xdr:nvSpPr>
        <xdr:cNvPr id="7203" name="TextBox 7202">
          <a:extLst>
            <a:ext uri="{FF2B5EF4-FFF2-40B4-BE49-F238E27FC236}">
              <a16:creationId xmlns:a16="http://schemas.microsoft.com/office/drawing/2014/main" id="{3CAB4135-24C4-2456-DF88-C002093F0AA3}"/>
            </a:ext>
          </a:extLst>
        </xdr:cNvPr>
        <xdr:cNvSpPr txBox="1"/>
      </xdr:nvSpPr>
      <xdr:spPr>
        <a:xfrm>
          <a:off x="9509305" y="5142383"/>
          <a:ext cx="777696" cy="32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AK,</a:t>
          </a:r>
          <a:r>
            <a:rPr lang="en-US" sz="1100" b="0" baseline="0">
              <a:solidFill>
                <a:schemeClr val="bg1"/>
              </a:solidFill>
            </a:rPr>
            <a:t> UYO </a:t>
          </a:r>
          <a:r>
            <a:rPr lang="en-US" sz="1100" b="0">
              <a:solidFill>
                <a:schemeClr val="bg1"/>
              </a:solidFill>
            </a:rPr>
            <a:t>-</a:t>
          </a:r>
        </a:p>
      </xdr:txBody>
    </xdr:sp>
    <xdr:clientData/>
  </xdr:twoCellAnchor>
  <xdr:twoCellAnchor editAs="absolute">
    <xdr:from>
      <xdr:col>14</xdr:col>
      <xdr:colOff>177626</xdr:colOff>
      <xdr:row>36</xdr:row>
      <xdr:rowOff>100835</xdr:rowOff>
    </xdr:from>
    <xdr:to>
      <xdr:col>15</xdr:col>
      <xdr:colOff>314326</xdr:colOff>
      <xdr:row>38</xdr:row>
      <xdr:rowOff>152400</xdr:rowOff>
    </xdr:to>
    <xdr:sp macro="" textlink="">
      <xdr:nvSpPr>
        <xdr:cNvPr id="7204" name="TextBox 7203">
          <a:extLst>
            <a:ext uri="{FF2B5EF4-FFF2-40B4-BE49-F238E27FC236}">
              <a16:creationId xmlns:a16="http://schemas.microsoft.com/office/drawing/2014/main" id="{392FCC3E-1A6D-0D20-D582-0E73A5F7387B}"/>
            </a:ext>
          </a:extLst>
        </xdr:cNvPr>
        <xdr:cNvSpPr txBox="1"/>
      </xdr:nvSpPr>
      <xdr:spPr>
        <a:xfrm>
          <a:off x="9483551" y="6844535"/>
          <a:ext cx="927275" cy="432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TOMY RESIDENCE -</a:t>
          </a:r>
        </a:p>
      </xdr:txBody>
    </xdr:sp>
    <xdr:clientData/>
  </xdr:twoCellAnchor>
  <xdr:twoCellAnchor editAs="absolute">
    <xdr:from>
      <xdr:col>14</xdr:col>
      <xdr:colOff>190434</xdr:colOff>
      <xdr:row>39</xdr:row>
      <xdr:rowOff>104774</xdr:rowOff>
    </xdr:from>
    <xdr:to>
      <xdr:col>15</xdr:col>
      <xdr:colOff>268538</xdr:colOff>
      <xdr:row>43</xdr:row>
      <xdr:rowOff>19049</xdr:rowOff>
    </xdr:to>
    <xdr:sp macro="" textlink="">
      <xdr:nvSpPr>
        <xdr:cNvPr id="7205" name="TextBox 7204">
          <a:extLst>
            <a:ext uri="{FF2B5EF4-FFF2-40B4-BE49-F238E27FC236}">
              <a16:creationId xmlns:a16="http://schemas.microsoft.com/office/drawing/2014/main" id="{90229933-CF38-0677-42FD-BD4CF9C2B475}"/>
            </a:ext>
          </a:extLst>
        </xdr:cNvPr>
        <xdr:cNvSpPr txBox="1"/>
      </xdr:nvSpPr>
      <xdr:spPr>
        <a:xfrm>
          <a:off x="9496359" y="7419974"/>
          <a:ext cx="868679"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mn-lt"/>
              <a:ea typeface="+mn-ea"/>
              <a:cs typeface="+mn-cs"/>
            </a:rPr>
            <a:t>LAGOS GUEST H </a:t>
          </a:r>
          <a:r>
            <a:rPr lang="en-US" sz="1400" b="0">
              <a:solidFill>
                <a:schemeClr val="bg1"/>
              </a:solidFill>
            </a:rPr>
            <a:t>-</a:t>
          </a:r>
        </a:p>
      </xdr:txBody>
    </xdr:sp>
    <xdr:clientData/>
  </xdr:twoCellAnchor>
  <xdr:twoCellAnchor editAs="absolute">
    <xdr:from>
      <xdr:col>14</xdr:col>
      <xdr:colOff>211916</xdr:colOff>
      <xdr:row>33</xdr:row>
      <xdr:rowOff>121791</xdr:rowOff>
    </xdr:from>
    <xdr:to>
      <xdr:col>15</xdr:col>
      <xdr:colOff>342900</xdr:colOff>
      <xdr:row>35</xdr:row>
      <xdr:rowOff>95251</xdr:rowOff>
    </xdr:to>
    <xdr:sp macro="" textlink="">
      <xdr:nvSpPr>
        <xdr:cNvPr id="7206" name="TextBox 7205">
          <a:extLst>
            <a:ext uri="{FF2B5EF4-FFF2-40B4-BE49-F238E27FC236}">
              <a16:creationId xmlns:a16="http://schemas.microsoft.com/office/drawing/2014/main" id="{5821D08F-D610-F7C4-EAB8-12B6A26D72F7}"/>
            </a:ext>
          </a:extLst>
        </xdr:cNvPr>
        <xdr:cNvSpPr txBox="1"/>
      </xdr:nvSpPr>
      <xdr:spPr>
        <a:xfrm>
          <a:off x="9517841" y="6293991"/>
          <a:ext cx="921559" cy="35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AK , LAGOS -</a:t>
          </a:r>
        </a:p>
      </xdr:txBody>
    </xdr:sp>
    <xdr:clientData/>
  </xdr:twoCellAnchor>
  <xdr:twoCellAnchor editAs="absolute">
    <xdr:from>
      <xdr:col>15</xdr:col>
      <xdr:colOff>274320</xdr:colOff>
      <xdr:row>11</xdr:row>
      <xdr:rowOff>95250</xdr:rowOff>
    </xdr:from>
    <xdr:to>
      <xdr:col>16</xdr:col>
      <xdr:colOff>466725</xdr:colOff>
      <xdr:row>13</xdr:row>
      <xdr:rowOff>3810</xdr:rowOff>
    </xdr:to>
    <xdr:sp macro="" textlink="Data_Analysis!AC27">
      <xdr:nvSpPr>
        <xdr:cNvPr id="7207" name="TextBox 7206">
          <a:extLst>
            <a:ext uri="{FF2B5EF4-FFF2-40B4-BE49-F238E27FC236}">
              <a16:creationId xmlns:a16="http://schemas.microsoft.com/office/drawing/2014/main" id="{1C06B245-3CA3-32E2-E9EA-BBCE4DC9CF71}"/>
            </a:ext>
          </a:extLst>
        </xdr:cNvPr>
        <xdr:cNvSpPr txBox="1"/>
      </xdr:nvSpPr>
      <xdr:spPr>
        <a:xfrm>
          <a:off x="10370820" y="2076450"/>
          <a:ext cx="1030605"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36C43EE-0A7A-4E60-B02A-1BEB37E4D5F1}"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321945</xdr:colOff>
      <xdr:row>14</xdr:row>
      <xdr:rowOff>146685</xdr:rowOff>
    </xdr:from>
    <xdr:to>
      <xdr:col>16</xdr:col>
      <xdr:colOff>742951</xdr:colOff>
      <xdr:row>16</xdr:row>
      <xdr:rowOff>55245</xdr:rowOff>
    </xdr:to>
    <xdr:sp macro="" textlink="Data_Analysis!AC9">
      <xdr:nvSpPr>
        <xdr:cNvPr id="7208" name="TextBox 7207">
          <a:extLst>
            <a:ext uri="{FF2B5EF4-FFF2-40B4-BE49-F238E27FC236}">
              <a16:creationId xmlns:a16="http://schemas.microsoft.com/office/drawing/2014/main" id="{A6F86734-3F55-2154-85A0-61E52313777D}"/>
            </a:ext>
          </a:extLst>
        </xdr:cNvPr>
        <xdr:cNvSpPr txBox="1"/>
      </xdr:nvSpPr>
      <xdr:spPr>
        <a:xfrm>
          <a:off x="10418445" y="2699385"/>
          <a:ext cx="1259206"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354D221-0847-4C3D-80D4-4BB0E7DE48F8}"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340995</xdr:colOff>
      <xdr:row>18</xdr:row>
      <xdr:rowOff>0</xdr:rowOff>
    </xdr:from>
    <xdr:to>
      <xdr:col>16</xdr:col>
      <xdr:colOff>742950</xdr:colOff>
      <xdr:row>19</xdr:row>
      <xdr:rowOff>99060</xdr:rowOff>
    </xdr:to>
    <xdr:sp macro="" textlink="Data_Analysis!AC12">
      <xdr:nvSpPr>
        <xdr:cNvPr id="7209" name="TextBox 7208">
          <a:extLst>
            <a:ext uri="{FF2B5EF4-FFF2-40B4-BE49-F238E27FC236}">
              <a16:creationId xmlns:a16="http://schemas.microsoft.com/office/drawing/2014/main" id="{153A2989-8BD0-3274-FE9C-F363480A3A71}"/>
            </a:ext>
          </a:extLst>
        </xdr:cNvPr>
        <xdr:cNvSpPr txBox="1"/>
      </xdr:nvSpPr>
      <xdr:spPr>
        <a:xfrm>
          <a:off x="10437495" y="3314700"/>
          <a:ext cx="1240155"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03D71C6-D8C3-42DE-A813-A31196EFE250}"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331471</xdr:colOff>
      <xdr:row>21</xdr:row>
      <xdr:rowOff>45720</xdr:rowOff>
    </xdr:from>
    <xdr:to>
      <xdr:col>16</xdr:col>
      <xdr:colOff>590551</xdr:colOff>
      <xdr:row>22</xdr:row>
      <xdr:rowOff>137160</xdr:rowOff>
    </xdr:to>
    <xdr:sp macro="" textlink="Data_Analysis!AC18">
      <xdr:nvSpPr>
        <xdr:cNvPr id="7210" name="TextBox 7209">
          <a:extLst>
            <a:ext uri="{FF2B5EF4-FFF2-40B4-BE49-F238E27FC236}">
              <a16:creationId xmlns:a16="http://schemas.microsoft.com/office/drawing/2014/main" id="{15BC99BC-E107-525A-CFF1-9687E4F68495}"/>
            </a:ext>
          </a:extLst>
        </xdr:cNvPr>
        <xdr:cNvSpPr txBox="1"/>
      </xdr:nvSpPr>
      <xdr:spPr>
        <a:xfrm>
          <a:off x="10427971" y="3931920"/>
          <a:ext cx="1097280"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AC6E531-EBFB-4190-819E-529EC0759A59}"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350520</xdr:colOff>
      <xdr:row>24</xdr:row>
      <xdr:rowOff>129540</xdr:rowOff>
    </xdr:from>
    <xdr:to>
      <xdr:col>16</xdr:col>
      <xdr:colOff>676275</xdr:colOff>
      <xdr:row>26</xdr:row>
      <xdr:rowOff>38100</xdr:rowOff>
    </xdr:to>
    <xdr:sp macro="" textlink="Data_Analysis!AC15">
      <xdr:nvSpPr>
        <xdr:cNvPr id="7211" name="TextBox 7210">
          <a:extLst>
            <a:ext uri="{FF2B5EF4-FFF2-40B4-BE49-F238E27FC236}">
              <a16:creationId xmlns:a16="http://schemas.microsoft.com/office/drawing/2014/main" id="{8EFB70CD-1339-CD6F-D5ED-0B29F67BC74C}"/>
            </a:ext>
          </a:extLst>
        </xdr:cNvPr>
        <xdr:cNvSpPr txBox="1"/>
      </xdr:nvSpPr>
      <xdr:spPr>
        <a:xfrm>
          <a:off x="10447020" y="4587240"/>
          <a:ext cx="1163955"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5698F0E-987D-4B2A-A4BE-A965261CCA0C}"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426721</xdr:colOff>
      <xdr:row>30</xdr:row>
      <xdr:rowOff>150495</xdr:rowOff>
    </xdr:from>
    <xdr:to>
      <xdr:col>16</xdr:col>
      <xdr:colOff>704851</xdr:colOff>
      <xdr:row>32</xdr:row>
      <xdr:rowOff>51435</xdr:rowOff>
    </xdr:to>
    <xdr:sp macro="" textlink="Data_Analysis!AC33">
      <xdr:nvSpPr>
        <xdr:cNvPr id="7212" name="TextBox 7211">
          <a:extLst>
            <a:ext uri="{FF2B5EF4-FFF2-40B4-BE49-F238E27FC236}">
              <a16:creationId xmlns:a16="http://schemas.microsoft.com/office/drawing/2014/main" id="{8ADC6510-DC57-9DFC-143A-3893C43FE31F}"/>
            </a:ext>
          </a:extLst>
        </xdr:cNvPr>
        <xdr:cNvSpPr txBox="1"/>
      </xdr:nvSpPr>
      <xdr:spPr>
        <a:xfrm>
          <a:off x="10523221" y="5751195"/>
          <a:ext cx="1116330"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1947ED8-BFBD-48D9-BA77-DAC68CB0028C}"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360046</xdr:colOff>
      <xdr:row>27</xdr:row>
      <xdr:rowOff>121920</xdr:rowOff>
    </xdr:from>
    <xdr:to>
      <xdr:col>16</xdr:col>
      <xdr:colOff>695326</xdr:colOff>
      <xdr:row>29</xdr:row>
      <xdr:rowOff>22860</xdr:rowOff>
    </xdr:to>
    <xdr:sp macro="" textlink="Data_Analysis!AC39">
      <xdr:nvSpPr>
        <xdr:cNvPr id="7213" name="TextBox 7212">
          <a:extLst>
            <a:ext uri="{FF2B5EF4-FFF2-40B4-BE49-F238E27FC236}">
              <a16:creationId xmlns:a16="http://schemas.microsoft.com/office/drawing/2014/main" id="{6FFBAF5B-CB2E-228C-DBE5-0E2761989C35}"/>
            </a:ext>
          </a:extLst>
        </xdr:cNvPr>
        <xdr:cNvSpPr txBox="1"/>
      </xdr:nvSpPr>
      <xdr:spPr>
        <a:xfrm>
          <a:off x="10456546" y="5151120"/>
          <a:ext cx="1173480"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F6C6019-D9DD-4CB5-B4CE-D1BB99579649}"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455296</xdr:colOff>
      <xdr:row>40</xdr:row>
      <xdr:rowOff>15240</xdr:rowOff>
    </xdr:from>
    <xdr:to>
      <xdr:col>17</xdr:col>
      <xdr:colOff>142876</xdr:colOff>
      <xdr:row>41</xdr:row>
      <xdr:rowOff>114300</xdr:rowOff>
    </xdr:to>
    <xdr:sp macro="" textlink="Data_Analysis!AC30">
      <xdr:nvSpPr>
        <xdr:cNvPr id="7214" name="TextBox 7213">
          <a:extLst>
            <a:ext uri="{FF2B5EF4-FFF2-40B4-BE49-F238E27FC236}">
              <a16:creationId xmlns:a16="http://schemas.microsoft.com/office/drawing/2014/main" id="{F5480923-4EA2-384A-DCE2-A7648E5D0870}"/>
            </a:ext>
          </a:extLst>
        </xdr:cNvPr>
        <xdr:cNvSpPr txBox="1"/>
      </xdr:nvSpPr>
      <xdr:spPr>
        <a:xfrm>
          <a:off x="10551796" y="7520940"/>
          <a:ext cx="1440180"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D36A008-7737-4EE2-9B8C-890C04E06AF4}"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455296</xdr:colOff>
      <xdr:row>37</xdr:row>
      <xdr:rowOff>15240</xdr:rowOff>
    </xdr:from>
    <xdr:to>
      <xdr:col>17</xdr:col>
      <xdr:colOff>85726</xdr:colOff>
      <xdr:row>38</xdr:row>
      <xdr:rowOff>114300</xdr:rowOff>
    </xdr:to>
    <xdr:sp macro="" textlink="Data_Analysis!AC21">
      <xdr:nvSpPr>
        <xdr:cNvPr id="7215" name="TextBox 7214">
          <a:extLst>
            <a:ext uri="{FF2B5EF4-FFF2-40B4-BE49-F238E27FC236}">
              <a16:creationId xmlns:a16="http://schemas.microsoft.com/office/drawing/2014/main" id="{3F19AC7C-5C2B-B02E-7D35-82344E233CA9}"/>
            </a:ext>
          </a:extLst>
        </xdr:cNvPr>
        <xdr:cNvSpPr txBox="1"/>
      </xdr:nvSpPr>
      <xdr:spPr>
        <a:xfrm>
          <a:off x="10551796" y="6949440"/>
          <a:ext cx="1383030"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991A095-9131-45CF-8CE6-F20B9525CA55}"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15</xdr:col>
      <xdr:colOff>426721</xdr:colOff>
      <xdr:row>33</xdr:row>
      <xdr:rowOff>148590</xdr:rowOff>
    </xdr:from>
    <xdr:to>
      <xdr:col>16</xdr:col>
      <xdr:colOff>838201</xdr:colOff>
      <xdr:row>35</xdr:row>
      <xdr:rowOff>49530</xdr:rowOff>
    </xdr:to>
    <xdr:sp macro="" textlink="Data_Analysis!AC36">
      <xdr:nvSpPr>
        <xdr:cNvPr id="7216" name="TextBox 7215">
          <a:extLst>
            <a:ext uri="{FF2B5EF4-FFF2-40B4-BE49-F238E27FC236}">
              <a16:creationId xmlns:a16="http://schemas.microsoft.com/office/drawing/2014/main" id="{5BEA1C79-23E5-E00B-0D48-7D545ACB5CF7}"/>
            </a:ext>
          </a:extLst>
        </xdr:cNvPr>
        <xdr:cNvSpPr txBox="1"/>
      </xdr:nvSpPr>
      <xdr:spPr>
        <a:xfrm>
          <a:off x="10523221" y="6320790"/>
          <a:ext cx="1249680"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02E86BD-FD2C-426B-8F04-7E9BC38DA665}"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6</xdr:col>
      <xdr:colOff>689447</xdr:colOff>
      <xdr:row>19</xdr:row>
      <xdr:rowOff>47625</xdr:rowOff>
    </xdr:from>
    <xdr:to>
      <xdr:col>10</xdr:col>
      <xdr:colOff>508130</xdr:colOff>
      <xdr:row>22</xdr:row>
      <xdr:rowOff>85725</xdr:rowOff>
    </xdr:to>
    <xdr:sp macro="" textlink="">
      <xdr:nvSpPr>
        <xdr:cNvPr id="20" name="Rectangle: Rounded Corners 19">
          <a:extLst>
            <a:ext uri="{FF2B5EF4-FFF2-40B4-BE49-F238E27FC236}">
              <a16:creationId xmlns:a16="http://schemas.microsoft.com/office/drawing/2014/main" id="{48DE9F4C-A537-2FFB-B263-EBD9F031FFFD}"/>
            </a:ext>
          </a:extLst>
        </xdr:cNvPr>
        <xdr:cNvSpPr/>
      </xdr:nvSpPr>
      <xdr:spPr>
        <a:xfrm>
          <a:off x="3804122" y="3552825"/>
          <a:ext cx="2609508" cy="60960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20956</xdr:colOff>
      <xdr:row>19</xdr:row>
      <xdr:rowOff>135255</xdr:rowOff>
    </xdr:from>
    <xdr:to>
      <xdr:col>7</xdr:col>
      <xdr:colOff>666750</xdr:colOff>
      <xdr:row>21</xdr:row>
      <xdr:rowOff>104775</xdr:rowOff>
    </xdr:to>
    <xdr:sp macro="" textlink="">
      <xdr:nvSpPr>
        <xdr:cNvPr id="21" name="TextBox 20">
          <a:extLst>
            <a:ext uri="{FF2B5EF4-FFF2-40B4-BE49-F238E27FC236}">
              <a16:creationId xmlns:a16="http://schemas.microsoft.com/office/drawing/2014/main" id="{F48E6146-093D-B5CD-5A52-013464EFDC9A}"/>
            </a:ext>
          </a:extLst>
        </xdr:cNvPr>
        <xdr:cNvSpPr txBox="1"/>
      </xdr:nvSpPr>
      <xdr:spPr>
        <a:xfrm>
          <a:off x="3830956" y="3640455"/>
          <a:ext cx="645794"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UYO -</a:t>
          </a:r>
        </a:p>
      </xdr:txBody>
    </xdr:sp>
    <xdr:clientData/>
  </xdr:twoCellAnchor>
  <xdr:twoCellAnchor editAs="absolute">
    <xdr:from>
      <xdr:col>7</xdr:col>
      <xdr:colOff>447675</xdr:colOff>
      <xdr:row>19</xdr:row>
      <xdr:rowOff>104140</xdr:rowOff>
    </xdr:from>
    <xdr:to>
      <xdr:col>9</xdr:col>
      <xdr:colOff>238125</xdr:colOff>
      <xdr:row>21</xdr:row>
      <xdr:rowOff>5080</xdr:rowOff>
    </xdr:to>
    <xdr:sp macro="" textlink="Data_Analysis!O18">
      <xdr:nvSpPr>
        <xdr:cNvPr id="34" name="TextBox 33">
          <a:extLst>
            <a:ext uri="{FF2B5EF4-FFF2-40B4-BE49-F238E27FC236}">
              <a16:creationId xmlns:a16="http://schemas.microsoft.com/office/drawing/2014/main" id="{C8941C19-37D1-C212-486A-896C0096CCAF}"/>
            </a:ext>
          </a:extLst>
        </xdr:cNvPr>
        <xdr:cNvSpPr txBox="1"/>
      </xdr:nvSpPr>
      <xdr:spPr>
        <a:xfrm>
          <a:off x="4257675" y="3609340"/>
          <a:ext cx="1295400"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0AB174F-B305-4E35-AC5E-6F163E3BEEA9}" type="TxLink">
            <a:rPr lang="en-US" sz="1100" b="0"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xdr:from>
      <xdr:col>10</xdr:col>
      <xdr:colOff>7621</xdr:colOff>
      <xdr:row>18</xdr:row>
      <xdr:rowOff>74295</xdr:rowOff>
    </xdr:from>
    <xdr:to>
      <xdr:col>10</xdr:col>
      <xdr:colOff>419101</xdr:colOff>
      <xdr:row>19</xdr:row>
      <xdr:rowOff>173355</xdr:rowOff>
    </xdr:to>
    <xdr:sp macro="" textlink="#REF!">
      <xdr:nvSpPr>
        <xdr:cNvPr id="7231" name="TextBox 7230">
          <a:extLst>
            <a:ext uri="{FF2B5EF4-FFF2-40B4-BE49-F238E27FC236}">
              <a16:creationId xmlns:a16="http://schemas.microsoft.com/office/drawing/2014/main" id="{8CFF1777-24C6-C316-ACB5-3F0A17407A4F}"/>
            </a:ext>
          </a:extLst>
        </xdr:cNvPr>
        <xdr:cNvSpPr txBox="1"/>
      </xdr:nvSpPr>
      <xdr:spPr>
        <a:xfrm>
          <a:off x="5855971" y="3388995"/>
          <a:ext cx="4114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75324A-6150-40CF-BF52-A8C63182061A}" type="TxLink">
            <a:rPr lang="en-US" sz="900" b="0" i="0" u="none" strike="noStrike">
              <a:solidFill>
                <a:schemeClr val="bg1"/>
              </a:solidFill>
              <a:latin typeface="Calibri"/>
              <a:cs typeface="Calibri"/>
            </a:rPr>
            <a:pPr/>
            <a:t> </a:t>
          </a:fld>
          <a:endParaRPr lang="en-US" sz="100">
            <a:solidFill>
              <a:schemeClr val="bg1"/>
            </a:solidFill>
          </a:endParaRPr>
        </a:p>
      </xdr:txBody>
    </xdr:sp>
    <xdr:clientData/>
  </xdr:twoCellAnchor>
  <xdr:twoCellAnchor editAs="absolute">
    <xdr:from>
      <xdr:col>2</xdr:col>
      <xdr:colOff>159996</xdr:colOff>
      <xdr:row>66</xdr:row>
      <xdr:rowOff>20404</xdr:rowOff>
    </xdr:from>
    <xdr:to>
      <xdr:col>7</xdr:col>
      <xdr:colOff>784228</xdr:colOff>
      <xdr:row>70</xdr:row>
      <xdr:rowOff>9525</xdr:rowOff>
    </xdr:to>
    <xdr:sp macro="" textlink="">
      <xdr:nvSpPr>
        <xdr:cNvPr id="7279" name="TextBox 7278">
          <a:extLst>
            <a:ext uri="{FF2B5EF4-FFF2-40B4-BE49-F238E27FC236}">
              <a16:creationId xmlns:a16="http://schemas.microsoft.com/office/drawing/2014/main" id="{62D16D29-2D19-9D65-465B-62A190D9074C}"/>
            </a:ext>
          </a:extLst>
        </xdr:cNvPr>
        <xdr:cNvSpPr txBox="1"/>
      </xdr:nvSpPr>
      <xdr:spPr>
        <a:xfrm>
          <a:off x="912471" y="12231454"/>
          <a:ext cx="3681757" cy="741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rPr>
            <a:t>MONTHLY</a:t>
          </a:r>
          <a:r>
            <a:rPr lang="en-US" sz="1200" b="0" baseline="0">
              <a:solidFill>
                <a:schemeClr val="bg1"/>
              </a:solidFill>
            </a:rPr>
            <a:t> VEHICLE MAINTENANCE COST / PERCENTAGE CHANGE</a:t>
          </a:r>
          <a:endParaRPr lang="en-US" sz="1200" b="0">
            <a:solidFill>
              <a:schemeClr val="bg1"/>
            </a:solidFill>
          </a:endParaRPr>
        </a:p>
      </xdr:txBody>
    </xdr:sp>
    <xdr:clientData/>
  </xdr:twoCellAnchor>
  <xdr:twoCellAnchor>
    <xdr:from>
      <xdr:col>1</xdr:col>
      <xdr:colOff>17134</xdr:colOff>
      <xdr:row>144</xdr:row>
      <xdr:rowOff>160281</xdr:rowOff>
    </xdr:from>
    <xdr:to>
      <xdr:col>8</xdr:col>
      <xdr:colOff>76200</xdr:colOff>
      <xdr:row>181</xdr:row>
      <xdr:rowOff>85725</xdr:rowOff>
    </xdr:to>
    <xdr:graphicFrame macro="">
      <xdr:nvGraphicFramePr>
        <xdr:cNvPr id="29" name="Chart 28">
          <a:extLst>
            <a:ext uri="{FF2B5EF4-FFF2-40B4-BE49-F238E27FC236}">
              <a16:creationId xmlns:a16="http://schemas.microsoft.com/office/drawing/2014/main" id="{9D346259-E305-4390-BFB7-BFB17F303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213360</xdr:colOff>
      <xdr:row>11</xdr:row>
      <xdr:rowOff>77273</xdr:rowOff>
    </xdr:from>
    <xdr:to>
      <xdr:col>2</xdr:col>
      <xdr:colOff>396239</xdr:colOff>
      <xdr:row>13</xdr:row>
      <xdr:rowOff>144780</xdr:rowOff>
    </xdr:to>
    <xdr:sp macro="" textlink="">
      <xdr:nvSpPr>
        <xdr:cNvPr id="7174" name="TextBox 7173">
          <a:extLst>
            <a:ext uri="{FF2B5EF4-FFF2-40B4-BE49-F238E27FC236}">
              <a16:creationId xmlns:a16="http://schemas.microsoft.com/office/drawing/2014/main" id="{44A438D2-4F0E-E7E0-37F4-85332FCC9184}"/>
            </a:ext>
          </a:extLst>
        </xdr:cNvPr>
        <xdr:cNvSpPr txBox="1"/>
      </xdr:nvSpPr>
      <xdr:spPr>
        <a:xfrm>
          <a:off x="213360" y="2012753"/>
          <a:ext cx="952499" cy="43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Closed- Out</a:t>
          </a:r>
        </a:p>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Equipment</a:t>
          </a:r>
          <a:endParaRPr lang="en-US" sz="1100">
            <a:solidFill>
              <a:schemeClr val="accent5">
                <a:lumMod val="20000"/>
                <a:lumOff val="80000"/>
              </a:schemeClr>
            </a:solidFill>
            <a:latin typeface="+mn-lt"/>
            <a:ea typeface="LATO BLACK" panose="020F0502020204030203" pitchFamily="34" charset="0"/>
            <a:cs typeface="LATO BLACK" panose="020F0502020204030203" pitchFamily="34" charset="0"/>
          </a:endParaRPr>
        </a:p>
      </xdr:txBody>
    </xdr:sp>
    <xdr:clientData/>
  </xdr:twoCellAnchor>
  <xdr:twoCellAnchor editAs="absolute">
    <xdr:from>
      <xdr:col>2</xdr:col>
      <xdr:colOff>320040</xdr:colOff>
      <xdr:row>11</xdr:row>
      <xdr:rowOff>127384</xdr:rowOff>
    </xdr:from>
    <xdr:to>
      <xdr:col>3</xdr:col>
      <xdr:colOff>541020</xdr:colOff>
      <xdr:row>13</xdr:row>
      <xdr:rowOff>121920</xdr:rowOff>
    </xdr:to>
    <xdr:sp macro="" textlink="Data_Analysis!E88">
      <xdr:nvSpPr>
        <xdr:cNvPr id="7175" name="Rectangle: Rounded Corners 7174">
          <a:extLst>
            <a:ext uri="{FF2B5EF4-FFF2-40B4-BE49-F238E27FC236}">
              <a16:creationId xmlns:a16="http://schemas.microsoft.com/office/drawing/2014/main" id="{08AE5E5E-BDB1-BEBF-221C-C879E7385B95}"/>
            </a:ext>
          </a:extLst>
        </xdr:cNvPr>
        <xdr:cNvSpPr/>
      </xdr:nvSpPr>
      <xdr:spPr>
        <a:xfrm>
          <a:off x="1072515" y="2108584"/>
          <a:ext cx="811530" cy="375536"/>
        </a:xfrm>
        <a:prstGeom prst="roundRect">
          <a:avLst>
            <a:gd name="adj" fmla="val 19374"/>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DAF1BCE-780B-4AB0-9F13-9D5E6E06E02F}" type="TxLink">
            <a:rPr lang="en-US" sz="1100" b="1" i="0" u="none" strike="noStrike">
              <a:solidFill>
                <a:schemeClr val="bg1"/>
              </a:solidFill>
              <a:latin typeface="Calibri"/>
              <a:ea typeface="Calibri"/>
              <a:cs typeface="Calibri"/>
            </a:rPr>
            <a:pPr algn="ctr"/>
            <a:t>29</a:t>
          </a:fld>
          <a:endParaRPr lang="en-US" sz="1400" b="1">
            <a:solidFill>
              <a:schemeClr val="bg1"/>
            </a:solidFill>
          </a:endParaRPr>
        </a:p>
      </xdr:txBody>
    </xdr:sp>
    <xdr:clientData/>
  </xdr:twoCellAnchor>
  <xdr:twoCellAnchor editAs="absolute">
    <xdr:from>
      <xdr:col>4</xdr:col>
      <xdr:colOff>76201</xdr:colOff>
      <xdr:row>11</xdr:row>
      <xdr:rowOff>69653</xdr:rowOff>
    </xdr:from>
    <xdr:to>
      <xdr:col>5</xdr:col>
      <xdr:colOff>281940</xdr:colOff>
      <xdr:row>14</xdr:row>
      <xdr:rowOff>15240</xdr:rowOff>
    </xdr:to>
    <xdr:sp macro="" textlink="">
      <xdr:nvSpPr>
        <xdr:cNvPr id="7178" name="TextBox 7177">
          <a:extLst>
            <a:ext uri="{FF2B5EF4-FFF2-40B4-BE49-F238E27FC236}">
              <a16:creationId xmlns:a16="http://schemas.microsoft.com/office/drawing/2014/main" id="{FB61CC6A-4DB7-F835-EC6E-210B4C5512E6}"/>
            </a:ext>
          </a:extLst>
        </xdr:cNvPr>
        <xdr:cNvSpPr txBox="1"/>
      </xdr:nvSpPr>
      <xdr:spPr>
        <a:xfrm>
          <a:off x="2065021" y="2005133"/>
          <a:ext cx="815339" cy="494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Open</a:t>
          </a:r>
        </a:p>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Equipment</a:t>
          </a:r>
          <a:endParaRPr lang="en-US" sz="1100">
            <a:solidFill>
              <a:schemeClr val="accent5">
                <a:lumMod val="20000"/>
                <a:lumOff val="80000"/>
              </a:schemeClr>
            </a:solidFill>
            <a:latin typeface="+mn-lt"/>
            <a:ea typeface="LATO BLACK" panose="020F0502020204030203" pitchFamily="34" charset="0"/>
            <a:cs typeface="LATO BLACK" panose="020F0502020204030203" pitchFamily="34" charset="0"/>
          </a:endParaRPr>
        </a:p>
      </xdr:txBody>
    </xdr:sp>
    <xdr:clientData/>
  </xdr:twoCellAnchor>
  <xdr:twoCellAnchor editAs="absolute">
    <xdr:from>
      <xdr:col>5</xdr:col>
      <xdr:colOff>259080</xdr:colOff>
      <xdr:row>11</xdr:row>
      <xdr:rowOff>115954</xdr:rowOff>
    </xdr:from>
    <xdr:to>
      <xdr:col>6</xdr:col>
      <xdr:colOff>480060</xdr:colOff>
      <xdr:row>13</xdr:row>
      <xdr:rowOff>110490</xdr:rowOff>
    </xdr:to>
    <xdr:sp macro="" textlink="Data_Analysis!E90">
      <xdr:nvSpPr>
        <xdr:cNvPr id="7179" name="Rectangle: Rounded Corners 7178">
          <a:extLst>
            <a:ext uri="{FF2B5EF4-FFF2-40B4-BE49-F238E27FC236}">
              <a16:creationId xmlns:a16="http://schemas.microsoft.com/office/drawing/2014/main" id="{EF4EA1A8-8CF8-502E-7CBE-B1A4AE60C8ED}"/>
            </a:ext>
          </a:extLst>
        </xdr:cNvPr>
        <xdr:cNvSpPr/>
      </xdr:nvSpPr>
      <xdr:spPr>
        <a:xfrm>
          <a:off x="2783205" y="2097154"/>
          <a:ext cx="811530" cy="375536"/>
        </a:xfrm>
        <a:prstGeom prst="roundRect">
          <a:avLst>
            <a:gd name="adj" fmla="val 19374"/>
          </a:avLst>
        </a:prstGeom>
        <a:no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9D50D8A-5312-4C39-A44A-F1857DB38FA7}" type="TxLink">
            <a:rPr lang="en-US" sz="1100" b="1" i="0" u="none" strike="noStrike">
              <a:solidFill>
                <a:schemeClr val="bg1"/>
              </a:solidFill>
              <a:latin typeface="Calibri"/>
              <a:ea typeface="Calibri"/>
              <a:cs typeface="Calibri"/>
            </a:rPr>
            <a:pPr algn="ctr"/>
            <a:t>1</a:t>
          </a:fld>
          <a:endParaRPr lang="en-US" sz="1400" b="1">
            <a:solidFill>
              <a:schemeClr val="bg1"/>
            </a:solidFill>
          </a:endParaRPr>
        </a:p>
      </xdr:txBody>
    </xdr:sp>
    <xdr:clientData/>
  </xdr:twoCellAnchor>
  <xdr:twoCellAnchor editAs="absolute">
    <xdr:from>
      <xdr:col>0</xdr:col>
      <xdr:colOff>198121</xdr:colOff>
      <xdr:row>15</xdr:row>
      <xdr:rowOff>39173</xdr:rowOff>
    </xdr:from>
    <xdr:to>
      <xdr:col>2</xdr:col>
      <xdr:colOff>297181</xdr:colOff>
      <xdr:row>17</xdr:row>
      <xdr:rowOff>106680</xdr:rowOff>
    </xdr:to>
    <xdr:sp macro="" textlink="">
      <xdr:nvSpPr>
        <xdr:cNvPr id="7181" name="TextBox 7180">
          <a:extLst>
            <a:ext uri="{FF2B5EF4-FFF2-40B4-BE49-F238E27FC236}">
              <a16:creationId xmlns:a16="http://schemas.microsoft.com/office/drawing/2014/main" id="{93D05856-DE2A-ECFB-01E8-90A7C61B0E7B}"/>
            </a:ext>
          </a:extLst>
        </xdr:cNvPr>
        <xdr:cNvSpPr txBox="1"/>
      </xdr:nvSpPr>
      <xdr:spPr>
        <a:xfrm>
          <a:off x="198121" y="2706173"/>
          <a:ext cx="868680" cy="43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Closed- Out</a:t>
          </a:r>
        </a:p>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Vehicle</a:t>
          </a:r>
          <a:endParaRPr lang="en-US" sz="1100">
            <a:solidFill>
              <a:schemeClr val="accent5">
                <a:lumMod val="20000"/>
                <a:lumOff val="80000"/>
              </a:schemeClr>
            </a:solidFill>
            <a:latin typeface="+mn-lt"/>
            <a:ea typeface="LATO BLACK" panose="020F0502020204030203" pitchFamily="34" charset="0"/>
            <a:cs typeface="LATO BLACK" panose="020F0502020204030203" pitchFamily="34" charset="0"/>
          </a:endParaRPr>
        </a:p>
      </xdr:txBody>
    </xdr:sp>
    <xdr:clientData/>
  </xdr:twoCellAnchor>
  <xdr:twoCellAnchor editAs="absolute">
    <xdr:from>
      <xdr:col>2</xdr:col>
      <xdr:colOff>329565</xdr:colOff>
      <xdr:row>15</xdr:row>
      <xdr:rowOff>60709</xdr:rowOff>
    </xdr:from>
    <xdr:to>
      <xdr:col>3</xdr:col>
      <xdr:colOff>550545</xdr:colOff>
      <xdr:row>17</xdr:row>
      <xdr:rowOff>55245</xdr:rowOff>
    </xdr:to>
    <xdr:sp macro="" textlink="Data_Analysis!P88">
      <xdr:nvSpPr>
        <xdr:cNvPr id="7183" name="Rectangle: Rounded Corners 7182">
          <a:extLst>
            <a:ext uri="{FF2B5EF4-FFF2-40B4-BE49-F238E27FC236}">
              <a16:creationId xmlns:a16="http://schemas.microsoft.com/office/drawing/2014/main" id="{2886594B-CE21-F1CE-8141-E0B92DC2414D}"/>
            </a:ext>
          </a:extLst>
        </xdr:cNvPr>
        <xdr:cNvSpPr/>
      </xdr:nvSpPr>
      <xdr:spPr>
        <a:xfrm>
          <a:off x="1082040" y="2803909"/>
          <a:ext cx="811530" cy="375536"/>
        </a:xfrm>
        <a:prstGeom prst="roundRect">
          <a:avLst>
            <a:gd name="adj" fmla="val 19374"/>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FDCA459-1C68-4B4A-8A56-F0A097EB3204}" type="TxLink">
            <a:rPr lang="en-US" sz="1100" b="1" i="0" u="none" strike="noStrike">
              <a:solidFill>
                <a:schemeClr val="bg1"/>
              </a:solidFill>
              <a:latin typeface="Calibri"/>
              <a:ea typeface="Calibri"/>
              <a:cs typeface="Calibri"/>
            </a:rPr>
            <a:pPr algn="ctr"/>
            <a:t>82</a:t>
          </a:fld>
          <a:endParaRPr lang="en-US" b="1">
            <a:solidFill>
              <a:schemeClr val="bg1"/>
            </a:solidFill>
          </a:endParaRPr>
        </a:p>
      </xdr:txBody>
    </xdr:sp>
    <xdr:clientData/>
  </xdr:twoCellAnchor>
  <xdr:twoCellAnchor editAs="absolute">
    <xdr:from>
      <xdr:col>4</xdr:col>
      <xdr:colOff>76201</xdr:colOff>
      <xdr:row>15</xdr:row>
      <xdr:rowOff>46793</xdr:rowOff>
    </xdr:from>
    <xdr:to>
      <xdr:col>5</xdr:col>
      <xdr:colOff>198120</xdr:colOff>
      <xdr:row>17</xdr:row>
      <xdr:rowOff>114300</xdr:rowOff>
    </xdr:to>
    <xdr:sp macro="" textlink="">
      <xdr:nvSpPr>
        <xdr:cNvPr id="7184" name="TextBox 7183">
          <a:extLst>
            <a:ext uri="{FF2B5EF4-FFF2-40B4-BE49-F238E27FC236}">
              <a16:creationId xmlns:a16="http://schemas.microsoft.com/office/drawing/2014/main" id="{679DB55D-AD72-7532-D086-16AEC2985F23}"/>
            </a:ext>
          </a:extLst>
        </xdr:cNvPr>
        <xdr:cNvSpPr txBox="1"/>
      </xdr:nvSpPr>
      <xdr:spPr>
        <a:xfrm>
          <a:off x="2065021" y="2713793"/>
          <a:ext cx="731519" cy="43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Open</a:t>
          </a:r>
        </a:p>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Vehicle</a:t>
          </a:r>
          <a:endParaRPr lang="en-US" sz="1100">
            <a:solidFill>
              <a:schemeClr val="accent5">
                <a:lumMod val="20000"/>
                <a:lumOff val="80000"/>
              </a:schemeClr>
            </a:solidFill>
            <a:latin typeface="+mn-lt"/>
            <a:ea typeface="LATO BLACK" panose="020F0502020204030203" pitchFamily="34" charset="0"/>
            <a:cs typeface="LATO BLACK" panose="020F0502020204030203" pitchFamily="34" charset="0"/>
          </a:endParaRPr>
        </a:p>
      </xdr:txBody>
    </xdr:sp>
    <xdr:clientData/>
  </xdr:twoCellAnchor>
  <xdr:twoCellAnchor editAs="absolute">
    <xdr:from>
      <xdr:col>5</xdr:col>
      <xdr:colOff>243840</xdr:colOff>
      <xdr:row>15</xdr:row>
      <xdr:rowOff>81664</xdr:rowOff>
    </xdr:from>
    <xdr:to>
      <xdr:col>6</xdr:col>
      <xdr:colOff>464820</xdr:colOff>
      <xdr:row>17</xdr:row>
      <xdr:rowOff>76200</xdr:rowOff>
    </xdr:to>
    <xdr:sp macro="" textlink="Data_Analysis!P90">
      <xdr:nvSpPr>
        <xdr:cNvPr id="7217" name="Rectangle: Rounded Corners 7216">
          <a:extLst>
            <a:ext uri="{FF2B5EF4-FFF2-40B4-BE49-F238E27FC236}">
              <a16:creationId xmlns:a16="http://schemas.microsoft.com/office/drawing/2014/main" id="{AB174A9F-4645-9C76-E0B7-70E4639AEEC1}"/>
            </a:ext>
          </a:extLst>
        </xdr:cNvPr>
        <xdr:cNvSpPr/>
      </xdr:nvSpPr>
      <xdr:spPr>
        <a:xfrm>
          <a:off x="2842260" y="2748664"/>
          <a:ext cx="830580" cy="360296"/>
        </a:xfrm>
        <a:prstGeom prst="roundRect">
          <a:avLst>
            <a:gd name="adj" fmla="val 19374"/>
          </a:avLst>
        </a:prstGeom>
        <a:no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9D55510-3E1F-4DF8-8F45-E3E5D4B9CBDB}" type="TxLink">
            <a:rPr lang="en-US" sz="1100" b="1" i="0" u="none" strike="noStrike">
              <a:solidFill>
                <a:schemeClr val="bg1"/>
              </a:solidFill>
              <a:latin typeface="Calibri"/>
              <a:ea typeface="Calibri"/>
              <a:cs typeface="Calibri"/>
            </a:rPr>
            <a:pPr marL="0" indent="0" algn="ctr"/>
            <a:t>5</a:t>
          </a:fld>
          <a:endParaRPr lang="en-US" sz="1400" b="1" i="0" u="none" strike="noStrike">
            <a:solidFill>
              <a:schemeClr val="bg1"/>
            </a:solidFill>
            <a:latin typeface="Calibri"/>
            <a:ea typeface="+mn-ea"/>
            <a:cs typeface="Calibri"/>
          </a:endParaRPr>
        </a:p>
      </xdr:txBody>
    </xdr:sp>
    <xdr:clientData/>
  </xdr:twoCellAnchor>
  <xdr:twoCellAnchor editAs="absolute">
    <xdr:from>
      <xdr:col>0</xdr:col>
      <xdr:colOff>205741</xdr:colOff>
      <xdr:row>18</xdr:row>
      <xdr:rowOff>100133</xdr:rowOff>
    </xdr:from>
    <xdr:to>
      <xdr:col>2</xdr:col>
      <xdr:colOff>304801</xdr:colOff>
      <xdr:row>20</xdr:row>
      <xdr:rowOff>167640</xdr:rowOff>
    </xdr:to>
    <xdr:sp macro="" textlink="">
      <xdr:nvSpPr>
        <xdr:cNvPr id="7218" name="TextBox 7217">
          <a:extLst>
            <a:ext uri="{FF2B5EF4-FFF2-40B4-BE49-F238E27FC236}">
              <a16:creationId xmlns:a16="http://schemas.microsoft.com/office/drawing/2014/main" id="{56672856-57B5-AEC2-0E3B-2AA576E96D25}"/>
            </a:ext>
          </a:extLst>
        </xdr:cNvPr>
        <xdr:cNvSpPr txBox="1"/>
      </xdr:nvSpPr>
      <xdr:spPr>
        <a:xfrm>
          <a:off x="205741" y="3315773"/>
          <a:ext cx="868680" cy="43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Closed- Out</a:t>
          </a:r>
        </a:p>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Facility</a:t>
          </a:r>
          <a:endParaRPr lang="en-US" sz="1100">
            <a:solidFill>
              <a:schemeClr val="accent5">
                <a:lumMod val="20000"/>
                <a:lumOff val="80000"/>
              </a:schemeClr>
            </a:solidFill>
            <a:latin typeface="+mn-lt"/>
            <a:ea typeface="LATO BLACK" panose="020F0502020204030203" pitchFamily="34" charset="0"/>
            <a:cs typeface="LATO BLACK" panose="020F0502020204030203" pitchFamily="34" charset="0"/>
          </a:endParaRPr>
        </a:p>
      </xdr:txBody>
    </xdr:sp>
    <xdr:clientData/>
  </xdr:twoCellAnchor>
  <xdr:twoCellAnchor editAs="absolute">
    <xdr:from>
      <xdr:col>2</xdr:col>
      <xdr:colOff>327660</xdr:colOff>
      <xdr:row>18</xdr:row>
      <xdr:rowOff>150244</xdr:rowOff>
    </xdr:from>
    <xdr:to>
      <xdr:col>3</xdr:col>
      <xdr:colOff>548640</xdr:colOff>
      <xdr:row>20</xdr:row>
      <xdr:rowOff>144780</xdr:rowOff>
    </xdr:to>
    <xdr:sp macro="" textlink="Data_Analysis!AG88">
      <xdr:nvSpPr>
        <xdr:cNvPr id="7219" name="Rectangle: Rounded Corners 7218">
          <a:extLst>
            <a:ext uri="{FF2B5EF4-FFF2-40B4-BE49-F238E27FC236}">
              <a16:creationId xmlns:a16="http://schemas.microsoft.com/office/drawing/2014/main" id="{75015280-E480-F37E-FFBB-851D73EEC644}"/>
            </a:ext>
          </a:extLst>
        </xdr:cNvPr>
        <xdr:cNvSpPr/>
      </xdr:nvSpPr>
      <xdr:spPr>
        <a:xfrm>
          <a:off x="1097280" y="3365884"/>
          <a:ext cx="830580" cy="360296"/>
        </a:xfrm>
        <a:prstGeom prst="roundRect">
          <a:avLst>
            <a:gd name="adj" fmla="val 19374"/>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7FF9E6C-274D-4225-9ACA-A3584FA0E1F1}" type="TxLink">
            <a:rPr lang="en-US" sz="1100" b="1" i="0" u="none" strike="noStrike">
              <a:solidFill>
                <a:schemeClr val="bg1"/>
              </a:solidFill>
              <a:latin typeface="Calibri"/>
              <a:ea typeface="Calibri"/>
              <a:cs typeface="Calibri"/>
            </a:rPr>
            <a:pPr marL="0" indent="0" algn="ctr"/>
            <a:t>84</a:t>
          </a:fld>
          <a:endParaRPr lang="en-US" sz="1400" b="1" i="0" u="none" strike="noStrike">
            <a:solidFill>
              <a:schemeClr val="bg1"/>
            </a:solidFill>
            <a:latin typeface="Calibri"/>
            <a:ea typeface="+mn-ea"/>
            <a:cs typeface="Calibri"/>
          </a:endParaRPr>
        </a:p>
      </xdr:txBody>
    </xdr:sp>
    <xdr:clientData/>
  </xdr:twoCellAnchor>
  <xdr:twoCellAnchor editAs="absolute">
    <xdr:from>
      <xdr:col>4</xdr:col>
      <xdr:colOff>83821</xdr:colOff>
      <xdr:row>18</xdr:row>
      <xdr:rowOff>122993</xdr:rowOff>
    </xdr:from>
    <xdr:to>
      <xdr:col>5</xdr:col>
      <xdr:colOff>220980</xdr:colOff>
      <xdr:row>21</xdr:row>
      <xdr:rowOff>7620</xdr:rowOff>
    </xdr:to>
    <xdr:sp macro="" textlink="">
      <xdr:nvSpPr>
        <xdr:cNvPr id="7220" name="TextBox 7219">
          <a:extLst>
            <a:ext uri="{FF2B5EF4-FFF2-40B4-BE49-F238E27FC236}">
              <a16:creationId xmlns:a16="http://schemas.microsoft.com/office/drawing/2014/main" id="{3BD4E795-53FD-D9A5-72F2-608010D8E386}"/>
            </a:ext>
          </a:extLst>
        </xdr:cNvPr>
        <xdr:cNvSpPr txBox="1"/>
      </xdr:nvSpPr>
      <xdr:spPr>
        <a:xfrm>
          <a:off x="2072641" y="3338633"/>
          <a:ext cx="746759" cy="43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Open</a:t>
          </a:r>
        </a:p>
        <a:p>
          <a:r>
            <a:rPr lang="en-US" sz="1050">
              <a:solidFill>
                <a:schemeClr val="accent5">
                  <a:lumMod val="20000"/>
                  <a:lumOff val="80000"/>
                </a:schemeClr>
              </a:solidFill>
              <a:latin typeface="+mn-lt"/>
              <a:ea typeface="LATO BLACK" panose="020F0502020204030203" pitchFamily="34" charset="0"/>
              <a:cs typeface="LATO BLACK" panose="020F0502020204030203" pitchFamily="34" charset="0"/>
            </a:rPr>
            <a:t>Facility</a:t>
          </a:r>
          <a:endParaRPr lang="en-US" sz="1100">
            <a:solidFill>
              <a:schemeClr val="accent5">
                <a:lumMod val="20000"/>
                <a:lumOff val="80000"/>
              </a:schemeClr>
            </a:solidFill>
            <a:latin typeface="+mn-lt"/>
            <a:ea typeface="LATO BLACK" panose="020F0502020204030203" pitchFamily="34" charset="0"/>
            <a:cs typeface="LATO BLACK" panose="020F0502020204030203" pitchFamily="34" charset="0"/>
          </a:endParaRPr>
        </a:p>
      </xdr:txBody>
    </xdr:sp>
    <xdr:clientData/>
  </xdr:twoCellAnchor>
  <xdr:twoCellAnchor editAs="absolute">
    <xdr:from>
      <xdr:col>5</xdr:col>
      <xdr:colOff>251460</xdr:colOff>
      <xdr:row>18</xdr:row>
      <xdr:rowOff>127384</xdr:rowOff>
    </xdr:from>
    <xdr:to>
      <xdr:col>6</xdr:col>
      <xdr:colOff>472440</xdr:colOff>
      <xdr:row>20</xdr:row>
      <xdr:rowOff>121920</xdr:rowOff>
    </xdr:to>
    <xdr:sp macro="" textlink="Data_Analysis!AG90">
      <xdr:nvSpPr>
        <xdr:cNvPr id="7221" name="Rectangle: Rounded Corners 7220">
          <a:extLst>
            <a:ext uri="{FF2B5EF4-FFF2-40B4-BE49-F238E27FC236}">
              <a16:creationId xmlns:a16="http://schemas.microsoft.com/office/drawing/2014/main" id="{EEAD66FF-4624-E233-6203-AB58A16A4652}"/>
            </a:ext>
          </a:extLst>
        </xdr:cNvPr>
        <xdr:cNvSpPr/>
      </xdr:nvSpPr>
      <xdr:spPr>
        <a:xfrm>
          <a:off x="2849880" y="3343024"/>
          <a:ext cx="830580" cy="360296"/>
        </a:xfrm>
        <a:prstGeom prst="roundRect">
          <a:avLst>
            <a:gd name="adj" fmla="val 19374"/>
          </a:avLst>
        </a:prstGeom>
        <a:no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7318767-E90D-4240-8CD2-B54DE829F9DD}" type="TxLink">
            <a:rPr lang="en-US" sz="1100" b="1" i="0" u="none" strike="noStrike">
              <a:solidFill>
                <a:schemeClr val="bg1"/>
              </a:solidFill>
              <a:latin typeface="Calibri"/>
              <a:ea typeface="Calibri"/>
              <a:cs typeface="Calibri"/>
            </a:rPr>
            <a:pPr marL="0" indent="0" algn="ctr"/>
            <a:t>24</a:t>
          </a:fld>
          <a:endParaRPr lang="en-US" sz="1400" b="1" i="0" u="none" strike="noStrike">
            <a:solidFill>
              <a:schemeClr val="bg1"/>
            </a:solidFill>
            <a:latin typeface="Calibri"/>
            <a:ea typeface="+mn-ea"/>
            <a:cs typeface="Calibri"/>
          </a:endParaRPr>
        </a:p>
      </xdr:txBody>
    </xdr:sp>
    <xdr:clientData/>
  </xdr:twoCellAnchor>
  <xdr:twoCellAnchor editAs="absolute">
    <xdr:from>
      <xdr:col>0</xdr:col>
      <xdr:colOff>219075</xdr:colOff>
      <xdr:row>46</xdr:row>
      <xdr:rowOff>146685</xdr:rowOff>
    </xdr:from>
    <xdr:to>
      <xdr:col>7</xdr:col>
      <xdr:colOff>638175</xdr:colOff>
      <xdr:row>48</xdr:row>
      <xdr:rowOff>78105</xdr:rowOff>
    </xdr:to>
    <xdr:sp macro="" textlink="">
      <xdr:nvSpPr>
        <xdr:cNvPr id="7227" name="TextBox 7226">
          <a:extLst>
            <a:ext uri="{FF2B5EF4-FFF2-40B4-BE49-F238E27FC236}">
              <a16:creationId xmlns:a16="http://schemas.microsoft.com/office/drawing/2014/main" id="{F0522B33-91C3-4812-358E-1D85B4C57035}"/>
            </a:ext>
          </a:extLst>
        </xdr:cNvPr>
        <xdr:cNvSpPr txBox="1"/>
      </xdr:nvSpPr>
      <xdr:spPr>
        <a:xfrm>
          <a:off x="219075" y="8604885"/>
          <a:ext cx="4229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1"/>
              </a:solidFill>
            </a:rPr>
            <a:t>VEHICLE</a:t>
          </a:r>
          <a:r>
            <a:rPr lang="en-US" sz="1200" b="0" baseline="0">
              <a:solidFill>
                <a:schemeClr val="bg1"/>
              </a:solidFill>
            </a:rPr>
            <a:t> | EQUIPMENT | FACILITY COST</a:t>
          </a:r>
          <a:endParaRPr lang="en-US" sz="1200" b="0">
            <a:solidFill>
              <a:schemeClr val="bg1"/>
            </a:solidFill>
          </a:endParaRPr>
        </a:p>
      </xdr:txBody>
    </xdr:sp>
    <xdr:clientData/>
  </xdr:twoCellAnchor>
  <xdr:twoCellAnchor editAs="absolute">
    <xdr:from>
      <xdr:col>0</xdr:col>
      <xdr:colOff>156210</xdr:colOff>
      <xdr:row>87</xdr:row>
      <xdr:rowOff>102870</xdr:rowOff>
    </xdr:from>
    <xdr:to>
      <xdr:col>5</xdr:col>
      <xdr:colOff>342900</xdr:colOff>
      <xdr:row>89</xdr:row>
      <xdr:rowOff>38100</xdr:rowOff>
    </xdr:to>
    <xdr:sp macro="" textlink="">
      <xdr:nvSpPr>
        <xdr:cNvPr id="7245" name="Rectangle 7244">
          <a:extLst>
            <a:ext uri="{FF2B5EF4-FFF2-40B4-BE49-F238E27FC236}">
              <a16:creationId xmlns:a16="http://schemas.microsoft.com/office/drawing/2014/main" id="{B77A2B27-CB47-EF2F-A916-68AB9E939D06}"/>
            </a:ext>
          </a:extLst>
        </xdr:cNvPr>
        <xdr:cNvSpPr/>
      </xdr:nvSpPr>
      <xdr:spPr>
        <a:xfrm>
          <a:off x="156210" y="16304895"/>
          <a:ext cx="2710815" cy="316230"/>
        </a:xfrm>
        <a:prstGeom prst="rect">
          <a:avLst/>
        </a:prstGeom>
        <a:noFill/>
        <a:ln w="31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t>EACH VEHICLE  REPAIR / MAINTENANCE COST</a:t>
          </a:r>
        </a:p>
      </xdr:txBody>
    </xdr:sp>
    <xdr:clientData/>
  </xdr:twoCellAnchor>
  <xdr:twoCellAnchor editAs="absolute">
    <xdr:from>
      <xdr:col>6</xdr:col>
      <xdr:colOff>140970</xdr:colOff>
      <xdr:row>88</xdr:row>
      <xdr:rowOff>0</xdr:rowOff>
    </xdr:from>
    <xdr:to>
      <xdr:col>7</xdr:col>
      <xdr:colOff>836761</xdr:colOff>
      <xdr:row>89</xdr:row>
      <xdr:rowOff>175511</xdr:rowOff>
    </xdr:to>
    <xdr:sp macro="" textlink="Data_Analysis!$K$50">
      <xdr:nvSpPr>
        <xdr:cNvPr id="7247" name="Rectangle: Rounded Corners 7246">
          <a:extLst>
            <a:ext uri="{FF2B5EF4-FFF2-40B4-BE49-F238E27FC236}">
              <a16:creationId xmlns:a16="http://schemas.microsoft.com/office/drawing/2014/main" id="{D366CE2E-7C99-4EC3-9ACA-69C212394CE8}"/>
            </a:ext>
          </a:extLst>
        </xdr:cNvPr>
        <xdr:cNvSpPr/>
      </xdr:nvSpPr>
      <xdr:spPr>
        <a:xfrm>
          <a:off x="3255645" y="16383000"/>
          <a:ext cx="1391116" cy="375536"/>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B901C44-03BD-4C88-815B-AB9C61784685}" type="TxLink">
            <a:rPr lang="en-US" sz="1100" b="1" i="0" u="none" strike="noStrike">
              <a:solidFill>
                <a:schemeClr val="bg1"/>
              </a:solidFill>
              <a:latin typeface="Calibri"/>
              <a:ea typeface="Calibri"/>
              <a:cs typeface="Calibri"/>
            </a:rPr>
            <a:pPr algn="ctr"/>
            <a:t> -   </a:t>
          </a:fld>
          <a:endParaRPr lang="en-US" b="1">
            <a:solidFill>
              <a:schemeClr val="bg1"/>
            </a:solidFill>
          </a:endParaRPr>
        </a:p>
      </xdr:txBody>
    </xdr:sp>
    <xdr:clientData/>
  </xdr:twoCellAnchor>
  <xdr:twoCellAnchor editAs="absolute">
    <xdr:from>
      <xdr:col>0</xdr:col>
      <xdr:colOff>89534</xdr:colOff>
      <xdr:row>48</xdr:row>
      <xdr:rowOff>169546</xdr:rowOff>
    </xdr:from>
    <xdr:to>
      <xdr:col>8</xdr:col>
      <xdr:colOff>9525</xdr:colOff>
      <xdr:row>61</xdr:row>
      <xdr:rowOff>142876</xdr:rowOff>
    </xdr:to>
    <xdr:sp macro="" textlink="">
      <xdr:nvSpPr>
        <xdr:cNvPr id="7224" name="Rectangle: Rounded Corners 7223">
          <a:extLst>
            <a:ext uri="{FF2B5EF4-FFF2-40B4-BE49-F238E27FC236}">
              <a16:creationId xmlns:a16="http://schemas.microsoft.com/office/drawing/2014/main" id="{BA897714-B6E9-A9DA-4301-FEF3E199BDA2}"/>
            </a:ext>
          </a:extLst>
        </xdr:cNvPr>
        <xdr:cNvSpPr/>
      </xdr:nvSpPr>
      <xdr:spPr>
        <a:xfrm>
          <a:off x="89534" y="9008746"/>
          <a:ext cx="4644391" cy="2430780"/>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7621</xdr:colOff>
      <xdr:row>21</xdr:row>
      <xdr:rowOff>83820</xdr:rowOff>
    </xdr:from>
    <xdr:to>
      <xdr:col>10</xdr:col>
      <xdr:colOff>419101</xdr:colOff>
      <xdr:row>22</xdr:row>
      <xdr:rowOff>182880</xdr:rowOff>
    </xdr:to>
    <xdr:sp macro="" textlink="#REF!">
      <xdr:nvSpPr>
        <xdr:cNvPr id="23" name="TextBox 22">
          <a:extLst>
            <a:ext uri="{FF2B5EF4-FFF2-40B4-BE49-F238E27FC236}">
              <a16:creationId xmlns:a16="http://schemas.microsoft.com/office/drawing/2014/main" id="{B8D27C41-D144-7905-8622-67D29E57FEC5}"/>
            </a:ext>
          </a:extLst>
        </xdr:cNvPr>
        <xdr:cNvSpPr txBox="1"/>
      </xdr:nvSpPr>
      <xdr:spPr>
        <a:xfrm>
          <a:off x="5855971" y="3970020"/>
          <a:ext cx="4114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0766C1-470F-47A6-9A12-7736AC3659FA}" type="TxLink">
            <a:rPr lang="en-US" sz="900" b="0" i="0" u="none" strike="noStrike">
              <a:solidFill>
                <a:schemeClr val="bg1"/>
              </a:solidFill>
              <a:latin typeface="Calibri"/>
              <a:ea typeface="Calibri"/>
              <a:cs typeface="Calibri"/>
            </a:rPr>
            <a:pPr/>
            <a:t> </a:t>
          </a:fld>
          <a:endParaRPr lang="en-US" sz="100">
            <a:solidFill>
              <a:schemeClr val="bg1"/>
            </a:solidFill>
          </a:endParaRPr>
        </a:p>
      </xdr:txBody>
    </xdr:sp>
    <xdr:clientData/>
  </xdr:twoCellAnchor>
  <xdr:twoCellAnchor>
    <xdr:from>
      <xdr:col>0</xdr:col>
      <xdr:colOff>371476</xdr:colOff>
      <xdr:row>53</xdr:row>
      <xdr:rowOff>95249</xdr:rowOff>
    </xdr:from>
    <xdr:to>
      <xdr:col>8</xdr:col>
      <xdr:colOff>28575</xdr:colOff>
      <xdr:row>70</xdr:row>
      <xdr:rowOff>28575</xdr:rowOff>
    </xdr:to>
    <xdr:graphicFrame macro="">
      <xdr:nvGraphicFramePr>
        <xdr:cNvPr id="53" name="Chart 52">
          <a:extLst>
            <a:ext uri="{FF2B5EF4-FFF2-40B4-BE49-F238E27FC236}">
              <a16:creationId xmlns:a16="http://schemas.microsoft.com/office/drawing/2014/main" id="{5AF0AE2C-FD69-4C3A-8729-3F43A307C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14</xdr:row>
      <xdr:rowOff>85725</xdr:rowOff>
    </xdr:from>
    <xdr:to>
      <xdr:col>6</xdr:col>
      <xdr:colOff>581025</xdr:colOff>
      <xdr:row>14</xdr:row>
      <xdr:rowOff>95250</xdr:rowOff>
    </xdr:to>
    <xdr:cxnSp macro="">
      <xdr:nvCxnSpPr>
        <xdr:cNvPr id="7382" name="Straight Connector 7381">
          <a:extLst>
            <a:ext uri="{FF2B5EF4-FFF2-40B4-BE49-F238E27FC236}">
              <a16:creationId xmlns:a16="http://schemas.microsoft.com/office/drawing/2014/main" id="{E4F0DABC-C4ED-180A-E940-EE1B68E55DE5}"/>
            </a:ext>
          </a:extLst>
        </xdr:cNvPr>
        <xdr:cNvCxnSpPr/>
      </xdr:nvCxnSpPr>
      <xdr:spPr>
        <a:xfrm>
          <a:off x="219075" y="2638425"/>
          <a:ext cx="3476625" cy="9525"/>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219075</xdr:colOff>
      <xdr:row>18</xdr:row>
      <xdr:rowOff>28575</xdr:rowOff>
    </xdr:from>
    <xdr:to>
      <xdr:col>6</xdr:col>
      <xdr:colOff>581025</xdr:colOff>
      <xdr:row>18</xdr:row>
      <xdr:rowOff>38100</xdr:rowOff>
    </xdr:to>
    <xdr:cxnSp macro="">
      <xdr:nvCxnSpPr>
        <xdr:cNvPr id="7384" name="Straight Connector 7383">
          <a:extLst>
            <a:ext uri="{FF2B5EF4-FFF2-40B4-BE49-F238E27FC236}">
              <a16:creationId xmlns:a16="http://schemas.microsoft.com/office/drawing/2014/main" id="{58D25CA3-9BD5-FF04-D0AB-B9DA22FC1629}"/>
            </a:ext>
          </a:extLst>
        </xdr:cNvPr>
        <xdr:cNvCxnSpPr/>
      </xdr:nvCxnSpPr>
      <xdr:spPr>
        <a:xfrm>
          <a:off x="219075" y="3343275"/>
          <a:ext cx="3476625" cy="9525"/>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565786</xdr:colOff>
      <xdr:row>9</xdr:row>
      <xdr:rowOff>114298</xdr:rowOff>
    </xdr:from>
    <xdr:to>
      <xdr:col>13</xdr:col>
      <xdr:colOff>1297306</xdr:colOff>
      <xdr:row>14</xdr:row>
      <xdr:rowOff>123823</xdr:rowOff>
    </xdr:to>
    <xdr:graphicFrame macro="">
      <xdr:nvGraphicFramePr>
        <xdr:cNvPr id="14" name="Chart 13">
          <a:extLst>
            <a:ext uri="{FF2B5EF4-FFF2-40B4-BE49-F238E27FC236}">
              <a16:creationId xmlns:a16="http://schemas.microsoft.com/office/drawing/2014/main" id="{EF15DCE1-8804-475D-ABBC-DC890F22B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704850</xdr:colOff>
      <xdr:row>11</xdr:row>
      <xdr:rowOff>123825</xdr:rowOff>
    </xdr:from>
    <xdr:to>
      <xdr:col>13</xdr:col>
      <xdr:colOff>1266825</xdr:colOff>
      <xdr:row>13</xdr:row>
      <xdr:rowOff>24765</xdr:rowOff>
    </xdr:to>
    <xdr:sp macro="" textlink="Data_Analysis!$G$24">
      <xdr:nvSpPr>
        <xdr:cNvPr id="22" name="TextBox 21">
          <a:extLst>
            <a:ext uri="{FF2B5EF4-FFF2-40B4-BE49-F238E27FC236}">
              <a16:creationId xmlns:a16="http://schemas.microsoft.com/office/drawing/2014/main" id="{89FA1773-6066-44A9-9E32-285B180EE7DE}"/>
            </a:ext>
          </a:extLst>
        </xdr:cNvPr>
        <xdr:cNvSpPr txBox="1"/>
      </xdr:nvSpPr>
      <xdr:spPr>
        <a:xfrm>
          <a:off x="8629650" y="2105025"/>
          <a:ext cx="56197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BA3D0F-FACA-48D2-9884-9F97BA3AFD18}" type="TxLink">
            <a:rPr lang="en-US" sz="900" b="0" i="0" u="none" strike="noStrike">
              <a:solidFill>
                <a:schemeClr val="bg1"/>
              </a:solidFill>
              <a:latin typeface="Calibri"/>
              <a:ea typeface="Calibri"/>
              <a:cs typeface="Calibri"/>
            </a:rPr>
            <a:pPr/>
            <a:t>8.31%</a:t>
          </a:fld>
          <a:endParaRPr lang="en-US" sz="400">
            <a:solidFill>
              <a:schemeClr val="bg1"/>
            </a:solidFill>
          </a:endParaRPr>
        </a:p>
      </xdr:txBody>
    </xdr:sp>
    <xdr:clientData/>
  </xdr:twoCellAnchor>
  <xdr:twoCellAnchor editAs="absolute">
    <xdr:from>
      <xdr:col>13</xdr:col>
      <xdr:colOff>552450</xdr:colOff>
      <xdr:row>16</xdr:row>
      <xdr:rowOff>47033</xdr:rowOff>
    </xdr:from>
    <xdr:to>
      <xdr:col>13</xdr:col>
      <xdr:colOff>1283970</xdr:colOff>
      <xdr:row>21</xdr:row>
      <xdr:rowOff>8933</xdr:rowOff>
    </xdr:to>
    <xdr:graphicFrame macro="">
      <xdr:nvGraphicFramePr>
        <xdr:cNvPr id="28" name="Chart 27">
          <a:extLst>
            <a:ext uri="{FF2B5EF4-FFF2-40B4-BE49-F238E27FC236}">
              <a16:creationId xmlns:a16="http://schemas.microsoft.com/office/drawing/2014/main" id="{41AAB5D3-104A-4A8C-A88E-D829BA91C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676275</xdr:colOff>
      <xdr:row>18</xdr:row>
      <xdr:rowOff>0</xdr:rowOff>
    </xdr:from>
    <xdr:to>
      <xdr:col>13</xdr:col>
      <xdr:colOff>1228724</xdr:colOff>
      <xdr:row>19</xdr:row>
      <xdr:rowOff>81915</xdr:rowOff>
    </xdr:to>
    <xdr:sp macro="" textlink="Data_Analysis!$G$27">
      <xdr:nvSpPr>
        <xdr:cNvPr id="30" name="TextBox 29">
          <a:extLst>
            <a:ext uri="{FF2B5EF4-FFF2-40B4-BE49-F238E27FC236}">
              <a16:creationId xmlns:a16="http://schemas.microsoft.com/office/drawing/2014/main" id="{17B82C08-98D5-3EF4-0EF7-C1B9E115ABEC}"/>
            </a:ext>
          </a:extLst>
        </xdr:cNvPr>
        <xdr:cNvSpPr txBox="1"/>
      </xdr:nvSpPr>
      <xdr:spPr>
        <a:xfrm>
          <a:off x="8601075" y="3305175"/>
          <a:ext cx="55244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600565-D4A3-4083-A17B-E3DFE6A48C52}" type="TxLink">
            <a:rPr lang="en-US" sz="900" b="0" i="0" u="none" strike="noStrike">
              <a:solidFill>
                <a:schemeClr val="bg1"/>
              </a:solidFill>
              <a:latin typeface="Calibri"/>
              <a:ea typeface="Calibri"/>
              <a:cs typeface="Calibri"/>
            </a:rPr>
            <a:pPr/>
            <a:t>0.00%</a:t>
          </a:fld>
          <a:endParaRPr lang="en-US" sz="100">
            <a:solidFill>
              <a:schemeClr val="bg1"/>
            </a:solidFill>
          </a:endParaRPr>
        </a:p>
      </xdr:txBody>
    </xdr:sp>
    <xdr:clientData/>
  </xdr:twoCellAnchor>
  <xdr:twoCellAnchor editAs="absolute">
    <xdr:from>
      <xdr:col>13</xdr:col>
      <xdr:colOff>571499</xdr:colOff>
      <xdr:row>19</xdr:row>
      <xdr:rowOff>76199</xdr:rowOff>
    </xdr:from>
    <xdr:to>
      <xdr:col>13</xdr:col>
      <xdr:colOff>1303019</xdr:colOff>
      <xdr:row>24</xdr:row>
      <xdr:rowOff>38099</xdr:rowOff>
    </xdr:to>
    <xdr:graphicFrame macro="">
      <xdr:nvGraphicFramePr>
        <xdr:cNvPr id="35" name="Chart 34">
          <a:extLst>
            <a:ext uri="{FF2B5EF4-FFF2-40B4-BE49-F238E27FC236}">
              <a16:creationId xmlns:a16="http://schemas.microsoft.com/office/drawing/2014/main" id="{8259C998-918A-4847-81A1-011005399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685800</xdr:colOff>
      <xdr:row>21</xdr:row>
      <xdr:rowOff>28575</xdr:rowOff>
    </xdr:from>
    <xdr:to>
      <xdr:col>13</xdr:col>
      <xdr:colOff>1276350</xdr:colOff>
      <xdr:row>22</xdr:row>
      <xdr:rowOff>158115</xdr:rowOff>
    </xdr:to>
    <xdr:sp macro="" textlink="Data_Analysis!$G$15">
      <xdr:nvSpPr>
        <xdr:cNvPr id="54" name="TextBox 53">
          <a:extLst>
            <a:ext uri="{FF2B5EF4-FFF2-40B4-BE49-F238E27FC236}">
              <a16:creationId xmlns:a16="http://schemas.microsoft.com/office/drawing/2014/main" id="{FF54E55E-F3C0-B471-ED6D-2BCAA3046ED8}"/>
            </a:ext>
          </a:extLst>
        </xdr:cNvPr>
        <xdr:cNvSpPr txBox="1"/>
      </xdr:nvSpPr>
      <xdr:spPr>
        <a:xfrm>
          <a:off x="8610600" y="3914775"/>
          <a:ext cx="59055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F1D5D0-3CC4-4470-BDC0-0C5598A54F83}" type="TxLink">
            <a:rPr lang="en-US" sz="900" b="0" i="0" u="none" strike="noStrike">
              <a:solidFill>
                <a:schemeClr val="bg1"/>
              </a:solidFill>
              <a:latin typeface="Calibri"/>
              <a:ea typeface="Calibri"/>
              <a:cs typeface="Calibri"/>
            </a:rPr>
            <a:pPr/>
            <a:t>#REF!</a:t>
          </a:fld>
          <a:endParaRPr lang="en-US" sz="200">
            <a:solidFill>
              <a:schemeClr val="bg1"/>
            </a:solidFill>
          </a:endParaRPr>
        </a:p>
      </xdr:txBody>
    </xdr:sp>
    <xdr:clientData/>
  </xdr:twoCellAnchor>
  <xdr:twoCellAnchor editAs="absolute">
    <xdr:from>
      <xdr:col>13</xdr:col>
      <xdr:colOff>584703</xdr:colOff>
      <xdr:row>22</xdr:row>
      <xdr:rowOff>104316</xdr:rowOff>
    </xdr:from>
    <xdr:to>
      <xdr:col>13</xdr:col>
      <xdr:colOff>1316223</xdr:colOff>
      <xdr:row>27</xdr:row>
      <xdr:rowOff>66216</xdr:rowOff>
    </xdr:to>
    <xdr:graphicFrame macro="">
      <xdr:nvGraphicFramePr>
        <xdr:cNvPr id="58" name="Chart 57">
          <a:extLst>
            <a:ext uri="{FF2B5EF4-FFF2-40B4-BE49-F238E27FC236}">
              <a16:creationId xmlns:a16="http://schemas.microsoft.com/office/drawing/2014/main" id="{C211B692-EEF8-4313-9AD4-9DBB2FCEE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13</xdr:col>
      <xdr:colOff>695325</xdr:colOff>
      <xdr:row>24</xdr:row>
      <xdr:rowOff>66675</xdr:rowOff>
    </xdr:from>
    <xdr:to>
      <xdr:col>13</xdr:col>
      <xdr:colOff>1276350</xdr:colOff>
      <xdr:row>26</xdr:row>
      <xdr:rowOff>5715</xdr:rowOff>
    </xdr:to>
    <xdr:sp macro="" textlink="Data_Analysis!$G$21">
      <xdr:nvSpPr>
        <xdr:cNvPr id="60" name="TextBox 59">
          <a:extLst>
            <a:ext uri="{FF2B5EF4-FFF2-40B4-BE49-F238E27FC236}">
              <a16:creationId xmlns:a16="http://schemas.microsoft.com/office/drawing/2014/main" id="{D47505C5-F7D7-4C82-2B62-F2B4FD942480}"/>
            </a:ext>
          </a:extLst>
        </xdr:cNvPr>
        <xdr:cNvSpPr txBox="1"/>
      </xdr:nvSpPr>
      <xdr:spPr>
        <a:xfrm>
          <a:off x="8620125" y="4524375"/>
          <a:ext cx="581025"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123F8B-120E-4EFB-8494-1E5A0876E9DD}" type="TxLink">
            <a:rPr lang="en-US" sz="900" b="0" i="0" u="none" strike="noStrike">
              <a:solidFill>
                <a:schemeClr val="bg1"/>
              </a:solidFill>
              <a:latin typeface="Calibri"/>
              <a:ea typeface="Calibri"/>
              <a:cs typeface="Calibri"/>
            </a:rPr>
            <a:pPr/>
            <a:t>46.41%</a:t>
          </a:fld>
          <a:endParaRPr lang="en-US" sz="100">
            <a:solidFill>
              <a:schemeClr val="bg1"/>
            </a:solidFill>
          </a:endParaRPr>
        </a:p>
      </xdr:txBody>
    </xdr:sp>
    <xdr:clientData/>
  </xdr:twoCellAnchor>
  <xdr:twoCellAnchor editAs="absolute">
    <xdr:from>
      <xdr:col>13</xdr:col>
      <xdr:colOff>576102</xdr:colOff>
      <xdr:row>28</xdr:row>
      <xdr:rowOff>176380</xdr:rowOff>
    </xdr:from>
    <xdr:to>
      <xdr:col>13</xdr:col>
      <xdr:colOff>1307622</xdr:colOff>
      <xdr:row>33</xdr:row>
      <xdr:rowOff>138280</xdr:rowOff>
    </xdr:to>
    <xdr:graphicFrame macro="">
      <xdr:nvGraphicFramePr>
        <xdr:cNvPr id="61" name="Chart 60">
          <a:extLst>
            <a:ext uri="{FF2B5EF4-FFF2-40B4-BE49-F238E27FC236}">
              <a16:creationId xmlns:a16="http://schemas.microsoft.com/office/drawing/2014/main" id="{C1F7E866-0072-4DF0-8B3C-DB8227DF2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13</xdr:col>
      <xdr:colOff>714376</xdr:colOff>
      <xdr:row>30</xdr:row>
      <xdr:rowOff>123825</xdr:rowOff>
    </xdr:from>
    <xdr:to>
      <xdr:col>13</xdr:col>
      <xdr:colOff>1276350</xdr:colOff>
      <xdr:row>32</xdr:row>
      <xdr:rowOff>62865</xdr:rowOff>
    </xdr:to>
    <xdr:sp macro="" textlink="Data_Analysis!$G$12">
      <xdr:nvSpPr>
        <xdr:cNvPr id="63" name="TextBox 62">
          <a:extLst>
            <a:ext uri="{FF2B5EF4-FFF2-40B4-BE49-F238E27FC236}">
              <a16:creationId xmlns:a16="http://schemas.microsoft.com/office/drawing/2014/main" id="{D5999668-1B3A-0476-960A-8E53B46363F8}"/>
            </a:ext>
          </a:extLst>
        </xdr:cNvPr>
        <xdr:cNvSpPr txBox="1"/>
      </xdr:nvSpPr>
      <xdr:spPr>
        <a:xfrm>
          <a:off x="8639176" y="5724525"/>
          <a:ext cx="561974"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5BF1DF-9A87-41D3-8AC4-6620B4D69853}" type="TxLink">
            <a:rPr lang="en-US" sz="900" b="0" i="0" u="none" strike="noStrike">
              <a:solidFill>
                <a:schemeClr val="bg1"/>
              </a:solidFill>
              <a:latin typeface="Calibri"/>
              <a:ea typeface="Calibri"/>
              <a:cs typeface="Calibri"/>
            </a:rPr>
            <a:pPr/>
            <a:t>0.00%</a:t>
          </a:fld>
          <a:endParaRPr lang="en-US" sz="100">
            <a:solidFill>
              <a:schemeClr val="bg1"/>
            </a:solidFill>
          </a:endParaRPr>
        </a:p>
      </xdr:txBody>
    </xdr:sp>
    <xdr:clientData/>
  </xdr:twoCellAnchor>
  <xdr:twoCellAnchor editAs="absolute">
    <xdr:from>
      <xdr:col>13</xdr:col>
      <xdr:colOff>561975</xdr:colOff>
      <xdr:row>35</xdr:row>
      <xdr:rowOff>47625</xdr:rowOff>
    </xdr:from>
    <xdr:to>
      <xdr:col>13</xdr:col>
      <xdr:colOff>1293495</xdr:colOff>
      <xdr:row>40</xdr:row>
      <xdr:rowOff>9525</xdr:rowOff>
    </xdr:to>
    <xdr:graphicFrame macro="">
      <xdr:nvGraphicFramePr>
        <xdr:cNvPr id="7168" name="Chart 7167">
          <a:extLst>
            <a:ext uri="{FF2B5EF4-FFF2-40B4-BE49-F238E27FC236}">
              <a16:creationId xmlns:a16="http://schemas.microsoft.com/office/drawing/2014/main" id="{50E9AD0B-DBE1-4A32-9C61-9A7F0DE8A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13</xdr:col>
      <xdr:colOff>676276</xdr:colOff>
      <xdr:row>37</xdr:row>
      <xdr:rowOff>9525</xdr:rowOff>
    </xdr:from>
    <xdr:to>
      <xdr:col>13</xdr:col>
      <xdr:colOff>1343026</xdr:colOff>
      <xdr:row>38</xdr:row>
      <xdr:rowOff>139065</xdr:rowOff>
    </xdr:to>
    <xdr:sp macro="" textlink="Data_Analysis!$G$21">
      <xdr:nvSpPr>
        <xdr:cNvPr id="7171" name="TextBox 7170">
          <a:extLst>
            <a:ext uri="{FF2B5EF4-FFF2-40B4-BE49-F238E27FC236}">
              <a16:creationId xmlns:a16="http://schemas.microsoft.com/office/drawing/2014/main" id="{7C2F9C32-326D-C9EE-46A9-3D907474490E}"/>
            </a:ext>
          </a:extLst>
        </xdr:cNvPr>
        <xdr:cNvSpPr txBox="1"/>
      </xdr:nvSpPr>
      <xdr:spPr>
        <a:xfrm>
          <a:off x="8601076" y="6943725"/>
          <a:ext cx="66675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136405-70E9-404A-AF06-5547BFFEB4E7}" type="TxLink">
            <a:rPr lang="en-US" sz="900" b="0" i="0" u="none" strike="noStrike">
              <a:solidFill>
                <a:schemeClr val="bg1"/>
              </a:solidFill>
              <a:latin typeface="Calibri"/>
              <a:ea typeface="Calibri"/>
              <a:cs typeface="Calibri"/>
            </a:rPr>
            <a:pPr/>
            <a:t>46.41%</a:t>
          </a:fld>
          <a:endParaRPr lang="en-US" sz="100">
            <a:solidFill>
              <a:schemeClr val="bg1"/>
            </a:solidFill>
          </a:endParaRPr>
        </a:p>
      </xdr:txBody>
    </xdr:sp>
    <xdr:clientData/>
  </xdr:twoCellAnchor>
  <xdr:twoCellAnchor>
    <xdr:from>
      <xdr:col>7</xdr:col>
      <xdr:colOff>15241</xdr:colOff>
      <xdr:row>14</xdr:row>
      <xdr:rowOff>112014</xdr:rowOff>
    </xdr:from>
    <xdr:to>
      <xdr:col>10</xdr:col>
      <xdr:colOff>581024</xdr:colOff>
      <xdr:row>19</xdr:row>
      <xdr:rowOff>38100</xdr:rowOff>
    </xdr:to>
    <xdr:grpSp>
      <xdr:nvGrpSpPr>
        <xdr:cNvPr id="7385" name="Group 7384">
          <a:extLst>
            <a:ext uri="{FF2B5EF4-FFF2-40B4-BE49-F238E27FC236}">
              <a16:creationId xmlns:a16="http://schemas.microsoft.com/office/drawing/2014/main" id="{31D96ABA-01DD-7154-1722-7FB026D820FE}"/>
            </a:ext>
          </a:extLst>
        </xdr:cNvPr>
        <xdr:cNvGrpSpPr/>
      </xdr:nvGrpSpPr>
      <xdr:grpSpPr>
        <a:xfrm>
          <a:off x="4012566" y="2569464"/>
          <a:ext cx="2772408" cy="830961"/>
          <a:chOff x="3825241" y="2664714"/>
          <a:chExt cx="2661283" cy="878586"/>
        </a:xfrm>
      </xdr:grpSpPr>
      <xdr:sp macro="" textlink="">
        <xdr:nvSpPr>
          <xdr:cNvPr id="16" name="Rectangle: Rounded Corners 15">
            <a:extLst>
              <a:ext uri="{FF2B5EF4-FFF2-40B4-BE49-F238E27FC236}">
                <a16:creationId xmlns:a16="http://schemas.microsoft.com/office/drawing/2014/main" id="{09CAA4B5-2722-3B28-8DDC-E60379F3E497}"/>
              </a:ext>
            </a:extLst>
          </xdr:cNvPr>
          <xdr:cNvSpPr/>
        </xdr:nvSpPr>
        <xdr:spPr>
          <a:xfrm>
            <a:off x="3832698" y="2771775"/>
            <a:ext cx="2606513" cy="704849"/>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F0BE5E43-D800-42EB-1504-440B219B24C0}"/>
              </a:ext>
            </a:extLst>
          </xdr:cNvPr>
          <xdr:cNvSpPr txBox="1"/>
        </xdr:nvSpPr>
        <xdr:spPr>
          <a:xfrm>
            <a:off x="3825241" y="2952750"/>
            <a:ext cx="61341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PHC</a:t>
            </a:r>
            <a:r>
              <a:rPr lang="en-US" sz="10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p>
        </xdr:txBody>
      </xdr:sp>
      <xdr:sp macro="" textlink="Data_Analysis!O9">
        <xdr:nvSpPr>
          <xdr:cNvPr id="32" name="TextBox 31">
            <a:extLst>
              <a:ext uri="{FF2B5EF4-FFF2-40B4-BE49-F238E27FC236}">
                <a16:creationId xmlns:a16="http://schemas.microsoft.com/office/drawing/2014/main" id="{5FF272F5-362F-9CB2-2371-963D93A78539}"/>
              </a:ext>
            </a:extLst>
          </xdr:cNvPr>
          <xdr:cNvSpPr txBox="1"/>
        </xdr:nvSpPr>
        <xdr:spPr>
          <a:xfrm>
            <a:off x="4295775" y="2947670"/>
            <a:ext cx="1323975"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BF391BC-82EF-4A12-8EF8-25E930AD1115}" type="TxLink">
              <a:rPr lang="en-US" sz="1100" b="0"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graphicFrame macro="">
        <xdr:nvGraphicFramePr>
          <xdr:cNvPr id="7230" name="Chart 7229">
            <a:extLst>
              <a:ext uri="{FF2B5EF4-FFF2-40B4-BE49-F238E27FC236}">
                <a16:creationId xmlns:a16="http://schemas.microsoft.com/office/drawing/2014/main" id="{50C28AA1-A9F2-44E0-8BD2-56BD1593BA1D}"/>
              </a:ext>
            </a:extLst>
          </xdr:cNvPr>
          <xdr:cNvGraphicFramePr>
            <a:graphicFrameLocks/>
          </xdr:cNvGraphicFramePr>
        </xdr:nvGraphicFramePr>
        <xdr:xfrm>
          <a:off x="5562599" y="2664714"/>
          <a:ext cx="923925" cy="878586"/>
        </xdr:xfrm>
        <a:graphic>
          <a:graphicData uri="http://schemas.openxmlformats.org/drawingml/2006/chart">
            <c:chart xmlns:c="http://schemas.openxmlformats.org/drawingml/2006/chart" xmlns:r="http://schemas.openxmlformats.org/officeDocument/2006/relationships" r:id="rId9"/>
          </a:graphicData>
        </a:graphic>
      </xdr:graphicFrame>
      <xdr:sp macro="" textlink="Data_Analysis!P9">
        <xdr:nvSpPr>
          <xdr:cNvPr id="7234" name="TextBox 7233">
            <a:extLst>
              <a:ext uri="{FF2B5EF4-FFF2-40B4-BE49-F238E27FC236}">
                <a16:creationId xmlns:a16="http://schemas.microsoft.com/office/drawing/2014/main" id="{BC38328F-CE60-C747-7D42-1CEDC0B247AD}"/>
              </a:ext>
            </a:extLst>
          </xdr:cNvPr>
          <xdr:cNvSpPr txBox="1"/>
        </xdr:nvSpPr>
        <xdr:spPr>
          <a:xfrm>
            <a:off x="5743575" y="2971800"/>
            <a:ext cx="58102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5C2EC8-FFF0-49AA-905E-622E61D45FE9}" type="TxLink">
              <a:rPr lang="en-US" sz="1000" b="0" i="0" u="none" strike="noStrike">
                <a:solidFill>
                  <a:schemeClr val="bg1"/>
                </a:solidFill>
                <a:latin typeface="Calibri"/>
                <a:ea typeface="Calibri"/>
                <a:cs typeface="Calibri"/>
              </a:rPr>
              <a:pPr/>
              <a:t>#REF!</a:t>
            </a:fld>
            <a:endParaRPr lang="en-US" sz="1000">
              <a:solidFill>
                <a:schemeClr val="bg1"/>
              </a:solidFill>
            </a:endParaRPr>
          </a:p>
        </xdr:txBody>
      </xdr:sp>
    </xdr:grpSp>
    <xdr:clientData/>
  </xdr:twoCellAnchor>
  <xdr:twoCellAnchor editAs="absolute">
    <xdr:from>
      <xdr:col>17</xdr:col>
      <xdr:colOff>98106</xdr:colOff>
      <xdr:row>13</xdr:row>
      <xdr:rowOff>104775</xdr:rowOff>
    </xdr:from>
    <xdr:to>
      <xdr:col>17</xdr:col>
      <xdr:colOff>819150</xdr:colOff>
      <xdr:row>17</xdr:row>
      <xdr:rowOff>64007</xdr:rowOff>
    </xdr:to>
    <xdr:grpSp>
      <xdr:nvGrpSpPr>
        <xdr:cNvPr id="7272" name="Group 7271">
          <a:extLst>
            <a:ext uri="{FF2B5EF4-FFF2-40B4-BE49-F238E27FC236}">
              <a16:creationId xmlns:a16="http://schemas.microsoft.com/office/drawing/2014/main" id="{EC2DAB32-8427-E57E-9DA2-8A252E0DCABB}"/>
            </a:ext>
          </a:extLst>
        </xdr:cNvPr>
        <xdr:cNvGrpSpPr/>
      </xdr:nvGrpSpPr>
      <xdr:grpSpPr>
        <a:xfrm>
          <a:off x="12528231" y="2378075"/>
          <a:ext cx="721044" cy="689482"/>
          <a:chOff x="11918631" y="2466975"/>
          <a:chExt cx="721044" cy="721232"/>
        </a:xfrm>
      </xdr:grpSpPr>
      <xdr:graphicFrame macro="">
        <xdr:nvGraphicFramePr>
          <xdr:cNvPr id="7240" name="Chart 7239">
            <a:extLst>
              <a:ext uri="{FF2B5EF4-FFF2-40B4-BE49-F238E27FC236}">
                <a16:creationId xmlns:a16="http://schemas.microsoft.com/office/drawing/2014/main" id="{50FBAD27-B3CF-48BD-8122-F9811D8928F2}"/>
              </a:ext>
            </a:extLst>
          </xdr:cNvPr>
          <xdr:cNvGraphicFramePr>
            <a:graphicFrameLocks/>
          </xdr:cNvGraphicFramePr>
        </xdr:nvGraphicFramePr>
        <xdr:xfrm>
          <a:off x="11918631" y="2466975"/>
          <a:ext cx="721044" cy="721232"/>
        </xdr:xfrm>
        <a:graphic>
          <a:graphicData uri="http://schemas.openxmlformats.org/drawingml/2006/chart">
            <c:chart xmlns:c="http://schemas.openxmlformats.org/drawingml/2006/chart" xmlns:r="http://schemas.openxmlformats.org/officeDocument/2006/relationships" r:id="rId10"/>
          </a:graphicData>
        </a:graphic>
      </xdr:graphicFrame>
      <xdr:sp macro="" textlink="Data_Analysis!$AD$9">
        <xdr:nvSpPr>
          <xdr:cNvPr id="7241" name="TextBox 7240">
            <a:extLst>
              <a:ext uri="{FF2B5EF4-FFF2-40B4-BE49-F238E27FC236}">
                <a16:creationId xmlns:a16="http://schemas.microsoft.com/office/drawing/2014/main" id="{13E8EB7F-A9EA-F792-E8AA-391E22DF1A04}"/>
              </a:ext>
            </a:extLst>
          </xdr:cNvPr>
          <xdr:cNvSpPr txBox="1"/>
        </xdr:nvSpPr>
        <xdr:spPr>
          <a:xfrm>
            <a:off x="12011025" y="2714625"/>
            <a:ext cx="6000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31D0F1-ABF7-4279-A046-614D9144B1DB}" type="TxLink">
              <a:rPr lang="en-US" sz="900" b="0" i="0" u="none" strike="noStrike">
                <a:solidFill>
                  <a:schemeClr val="bg1"/>
                </a:solidFill>
                <a:latin typeface="Calibri"/>
                <a:ea typeface="Calibri"/>
                <a:cs typeface="Calibri"/>
              </a:rPr>
              <a:pPr/>
              <a:t>#REF!</a:t>
            </a:fld>
            <a:endParaRPr lang="en-US" sz="900">
              <a:solidFill>
                <a:schemeClr val="bg1"/>
              </a:solidFill>
            </a:endParaRPr>
          </a:p>
        </xdr:txBody>
      </xdr:sp>
    </xdr:grpSp>
    <xdr:clientData/>
  </xdr:twoCellAnchor>
  <xdr:twoCellAnchor editAs="absolute">
    <xdr:from>
      <xdr:col>17</xdr:col>
      <xdr:colOff>73338</xdr:colOff>
      <xdr:row>16</xdr:row>
      <xdr:rowOff>171450</xdr:rowOff>
    </xdr:from>
    <xdr:to>
      <xdr:col>17</xdr:col>
      <xdr:colOff>795714</xdr:colOff>
      <xdr:row>20</xdr:row>
      <xdr:rowOff>131826</xdr:rowOff>
    </xdr:to>
    <xdr:grpSp>
      <xdr:nvGrpSpPr>
        <xdr:cNvPr id="7271" name="Group 7270">
          <a:extLst>
            <a:ext uri="{FF2B5EF4-FFF2-40B4-BE49-F238E27FC236}">
              <a16:creationId xmlns:a16="http://schemas.microsoft.com/office/drawing/2014/main" id="{F932F8BE-41E4-46AA-492D-4E315049F273}"/>
            </a:ext>
          </a:extLst>
        </xdr:cNvPr>
        <xdr:cNvGrpSpPr/>
      </xdr:nvGrpSpPr>
      <xdr:grpSpPr>
        <a:xfrm>
          <a:off x="12503463" y="2990850"/>
          <a:ext cx="719201" cy="684276"/>
          <a:chOff x="11912913" y="3086100"/>
          <a:chExt cx="722376" cy="722376"/>
        </a:xfrm>
      </xdr:grpSpPr>
      <xdr:graphicFrame macro="">
        <xdr:nvGraphicFramePr>
          <xdr:cNvPr id="7242" name="Chart 7241">
            <a:extLst>
              <a:ext uri="{FF2B5EF4-FFF2-40B4-BE49-F238E27FC236}">
                <a16:creationId xmlns:a16="http://schemas.microsoft.com/office/drawing/2014/main" id="{FF3F1630-F8F9-44D7-9288-E5E53196A00B}"/>
              </a:ext>
            </a:extLst>
          </xdr:cNvPr>
          <xdr:cNvGraphicFramePr>
            <a:graphicFrameLocks/>
          </xdr:cNvGraphicFramePr>
        </xdr:nvGraphicFramePr>
        <xdr:xfrm>
          <a:off x="11912913" y="3086100"/>
          <a:ext cx="722376" cy="722376"/>
        </xdr:xfrm>
        <a:graphic>
          <a:graphicData uri="http://schemas.openxmlformats.org/drawingml/2006/chart">
            <c:chart xmlns:c="http://schemas.openxmlformats.org/drawingml/2006/chart" xmlns:r="http://schemas.openxmlformats.org/officeDocument/2006/relationships" r:id="rId11"/>
          </a:graphicData>
        </a:graphic>
      </xdr:graphicFrame>
      <xdr:sp macro="" textlink="Data_Analysis!$AD$12">
        <xdr:nvSpPr>
          <xdr:cNvPr id="7243" name="TextBox 7242">
            <a:extLst>
              <a:ext uri="{FF2B5EF4-FFF2-40B4-BE49-F238E27FC236}">
                <a16:creationId xmlns:a16="http://schemas.microsoft.com/office/drawing/2014/main" id="{DDC2CA3F-2628-C3BE-E717-1513AEF3BB90}"/>
              </a:ext>
            </a:extLst>
          </xdr:cNvPr>
          <xdr:cNvSpPr txBox="1"/>
        </xdr:nvSpPr>
        <xdr:spPr>
          <a:xfrm>
            <a:off x="12039601" y="3333750"/>
            <a:ext cx="52387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2E4F68-03A4-4BA1-8919-62934D986BFC}" type="TxLink">
              <a:rPr lang="en-US" sz="900" b="0" i="0" u="none" strike="noStrike">
                <a:solidFill>
                  <a:schemeClr val="bg1"/>
                </a:solidFill>
                <a:latin typeface="Calibri"/>
                <a:ea typeface="Calibri"/>
                <a:cs typeface="Calibri"/>
              </a:rPr>
              <a:pPr/>
              <a:t>#REF!</a:t>
            </a:fld>
            <a:endParaRPr lang="en-US" sz="700">
              <a:solidFill>
                <a:schemeClr val="bg1"/>
              </a:solidFill>
            </a:endParaRPr>
          </a:p>
        </xdr:txBody>
      </xdr:sp>
    </xdr:grpSp>
    <xdr:clientData/>
  </xdr:twoCellAnchor>
  <xdr:twoCellAnchor editAs="absolute">
    <xdr:from>
      <xdr:col>17</xdr:col>
      <xdr:colOff>76069</xdr:colOff>
      <xdr:row>23</xdr:row>
      <xdr:rowOff>47625</xdr:rowOff>
    </xdr:from>
    <xdr:to>
      <xdr:col>17</xdr:col>
      <xdr:colOff>798445</xdr:colOff>
      <xdr:row>27</xdr:row>
      <xdr:rowOff>8001</xdr:rowOff>
    </xdr:to>
    <xdr:grpSp>
      <xdr:nvGrpSpPr>
        <xdr:cNvPr id="7269" name="Group 7268">
          <a:extLst>
            <a:ext uri="{FF2B5EF4-FFF2-40B4-BE49-F238E27FC236}">
              <a16:creationId xmlns:a16="http://schemas.microsoft.com/office/drawing/2014/main" id="{1ED78ACC-275C-8E52-1838-2BBDAA3A40B3}"/>
            </a:ext>
          </a:extLst>
        </xdr:cNvPr>
        <xdr:cNvGrpSpPr/>
      </xdr:nvGrpSpPr>
      <xdr:grpSpPr>
        <a:xfrm>
          <a:off x="12506194" y="4130675"/>
          <a:ext cx="722376" cy="690626"/>
          <a:chOff x="11915644" y="4314825"/>
          <a:chExt cx="722376" cy="722376"/>
        </a:xfrm>
      </xdr:grpSpPr>
      <xdr:graphicFrame macro="">
        <xdr:nvGraphicFramePr>
          <xdr:cNvPr id="7244" name="Chart 7243">
            <a:extLst>
              <a:ext uri="{FF2B5EF4-FFF2-40B4-BE49-F238E27FC236}">
                <a16:creationId xmlns:a16="http://schemas.microsoft.com/office/drawing/2014/main" id="{803D6563-C534-474E-884C-34902C8B5EBB}"/>
              </a:ext>
            </a:extLst>
          </xdr:cNvPr>
          <xdr:cNvGraphicFramePr>
            <a:graphicFrameLocks/>
          </xdr:cNvGraphicFramePr>
        </xdr:nvGraphicFramePr>
        <xdr:xfrm>
          <a:off x="11915644" y="4314825"/>
          <a:ext cx="722376" cy="722376"/>
        </xdr:xfrm>
        <a:graphic>
          <a:graphicData uri="http://schemas.openxmlformats.org/drawingml/2006/chart">
            <c:chart xmlns:c="http://schemas.openxmlformats.org/drawingml/2006/chart" xmlns:r="http://schemas.openxmlformats.org/officeDocument/2006/relationships" r:id="rId12"/>
          </a:graphicData>
        </a:graphic>
      </xdr:graphicFrame>
      <xdr:sp macro="" textlink="Data_Analysis!$AD$15">
        <xdr:nvSpPr>
          <xdr:cNvPr id="7246" name="TextBox 7245">
            <a:extLst>
              <a:ext uri="{FF2B5EF4-FFF2-40B4-BE49-F238E27FC236}">
                <a16:creationId xmlns:a16="http://schemas.microsoft.com/office/drawing/2014/main" id="{EAD0D3CA-FDA2-64D4-23CC-16533D06DED0}"/>
              </a:ext>
            </a:extLst>
          </xdr:cNvPr>
          <xdr:cNvSpPr txBox="1"/>
        </xdr:nvSpPr>
        <xdr:spPr>
          <a:xfrm>
            <a:off x="12020551" y="4552950"/>
            <a:ext cx="552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D471AB-199D-4C7D-97CD-FC1170722D36}" type="TxLink">
              <a:rPr lang="en-US" sz="900" b="0" i="0" u="none" strike="noStrike">
                <a:solidFill>
                  <a:schemeClr val="bg1"/>
                </a:solidFill>
                <a:latin typeface="Calibri"/>
                <a:ea typeface="Calibri"/>
                <a:cs typeface="Calibri"/>
              </a:rPr>
              <a:pPr/>
              <a:t>#REF!</a:t>
            </a:fld>
            <a:endParaRPr lang="en-US" sz="500">
              <a:solidFill>
                <a:schemeClr val="bg1"/>
              </a:solidFill>
            </a:endParaRPr>
          </a:p>
        </xdr:txBody>
      </xdr:sp>
    </xdr:grpSp>
    <xdr:clientData/>
  </xdr:twoCellAnchor>
  <xdr:twoCellAnchor editAs="absolute">
    <xdr:from>
      <xdr:col>17</xdr:col>
      <xdr:colOff>79054</xdr:colOff>
      <xdr:row>20</xdr:row>
      <xdr:rowOff>5714</xdr:rowOff>
    </xdr:from>
    <xdr:to>
      <xdr:col>17</xdr:col>
      <xdr:colOff>801430</xdr:colOff>
      <xdr:row>23</xdr:row>
      <xdr:rowOff>156590</xdr:rowOff>
    </xdr:to>
    <xdr:grpSp>
      <xdr:nvGrpSpPr>
        <xdr:cNvPr id="7270" name="Group 7269">
          <a:extLst>
            <a:ext uri="{FF2B5EF4-FFF2-40B4-BE49-F238E27FC236}">
              <a16:creationId xmlns:a16="http://schemas.microsoft.com/office/drawing/2014/main" id="{35F5B38E-8668-0E02-564F-04DD3E1132C9}"/>
            </a:ext>
          </a:extLst>
        </xdr:cNvPr>
        <xdr:cNvGrpSpPr/>
      </xdr:nvGrpSpPr>
      <xdr:grpSpPr>
        <a:xfrm>
          <a:off x="12509179" y="3552189"/>
          <a:ext cx="722376" cy="693801"/>
          <a:chOff x="11928154" y="3701414"/>
          <a:chExt cx="722376" cy="722376"/>
        </a:xfrm>
      </xdr:grpSpPr>
      <xdr:graphicFrame macro="">
        <xdr:nvGraphicFramePr>
          <xdr:cNvPr id="7248" name="Chart 7247">
            <a:extLst>
              <a:ext uri="{FF2B5EF4-FFF2-40B4-BE49-F238E27FC236}">
                <a16:creationId xmlns:a16="http://schemas.microsoft.com/office/drawing/2014/main" id="{E59FB847-B7AC-4D37-A15B-7961B7D0FA5E}"/>
              </a:ext>
            </a:extLst>
          </xdr:cNvPr>
          <xdr:cNvGraphicFramePr>
            <a:graphicFrameLocks/>
          </xdr:cNvGraphicFramePr>
        </xdr:nvGraphicFramePr>
        <xdr:xfrm>
          <a:off x="11928154" y="3701414"/>
          <a:ext cx="722376" cy="722376"/>
        </xdr:xfrm>
        <a:graphic>
          <a:graphicData uri="http://schemas.openxmlformats.org/drawingml/2006/chart">
            <c:chart xmlns:c="http://schemas.openxmlformats.org/drawingml/2006/chart" xmlns:r="http://schemas.openxmlformats.org/officeDocument/2006/relationships" r:id="rId13"/>
          </a:graphicData>
        </a:graphic>
      </xdr:graphicFrame>
      <xdr:sp macro="" textlink="Data_Analysis!$AD$18">
        <xdr:nvSpPr>
          <xdr:cNvPr id="7249" name="TextBox 7248">
            <a:extLst>
              <a:ext uri="{FF2B5EF4-FFF2-40B4-BE49-F238E27FC236}">
                <a16:creationId xmlns:a16="http://schemas.microsoft.com/office/drawing/2014/main" id="{2610E2FE-1844-EC60-BC39-69EAC4FD881A}"/>
              </a:ext>
            </a:extLst>
          </xdr:cNvPr>
          <xdr:cNvSpPr txBox="1"/>
        </xdr:nvSpPr>
        <xdr:spPr>
          <a:xfrm>
            <a:off x="12049126" y="3952875"/>
            <a:ext cx="552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767CB1-AF92-4475-B061-38002158B6EC}" type="TxLink">
              <a:rPr lang="en-US" sz="900" b="0" i="0" u="none" strike="noStrike">
                <a:solidFill>
                  <a:schemeClr val="bg1"/>
                </a:solidFill>
                <a:latin typeface="Calibri"/>
                <a:ea typeface="Calibri"/>
                <a:cs typeface="Calibri"/>
              </a:rPr>
              <a:pPr/>
              <a:t>#REF!</a:t>
            </a:fld>
            <a:endParaRPr lang="en-US" sz="300">
              <a:solidFill>
                <a:schemeClr val="bg1"/>
              </a:solidFill>
            </a:endParaRPr>
          </a:p>
        </xdr:txBody>
      </xdr:sp>
    </xdr:grpSp>
    <xdr:clientData/>
  </xdr:twoCellAnchor>
  <xdr:twoCellAnchor editAs="absolute">
    <xdr:from>
      <xdr:col>17</xdr:col>
      <xdr:colOff>37837</xdr:colOff>
      <xdr:row>35</xdr:row>
      <xdr:rowOff>171582</xdr:rowOff>
    </xdr:from>
    <xdr:to>
      <xdr:col>17</xdr:col>
      <xdr:colOff>760213</xdr:colOff>
      <xdr:row>39</xdr:row>
      <xdr:rowOff>131958</xdr:rowOff>
    </xdr:to>
    <xdr:grpSp>
      <xdr:nvGrpSpPr>
        <xdr:cNvPr id="7267" name="Group 7266">
          <a:extLst>
            <a:ext uri="{FF2B5EF4-FFF2-40B4-BE49-F238E27FC236}">
              <a16:creationId xmlns:a16="http://schemas.microsoft.com/office/drawing/2014/main" id="{47E2F601-6357-3156-84CB-178FB0777488}"/>
            </a:ext>
          </a:extLst>
        </xdr:cNvPr>
        <xdr:cNvGrpSpPr/>
      </xdr:nvGrpSpPr>
      <xdr:grpSpPr>
        <a:xfrm>
          <a:off x="12467962" y="6429507"/>
          <a:ext cx="722376" cy="684276"/>
          <a:chOff x="11991712" y="6705732"/>
          <a:chExt cx="722376" cy="722376"/>
        </a:xfrm>
      </xdr:grpSpPr>
      <xdr:graphicFrame macro="">
        <xdr:nvGraphicFramePr>
          <xdr:cNvPr id="7250" name="Chart 7249">
            <a:extLst>
              <a:ext uri="{FF2B5EF4-FFF2-40B4-BE49-F238E27FC236}">
                <a16:creationId xmlns:a16="http://schemas.microsoft.com/office/drawing/2014/main" id="{C84BA35C-CD75-4EB7-BEC0-2A5CF2343277}"/>
              </a:ext>
            </a:extLst>
          </xdr:cNvPr>
          <xdr:cNvGraphicFramePr>
            <a:graphicFrameLocks/>
          </xdr:cNvGraphicFramePr>
        </xdr:nvGraphicFramePr>
        <xdr:xfrm>
          <a:off x="11991712" y="6705732"/>
          <a:ext cx="722376" cy="722376"/>
        </xdr:xfrm>
        <a:graphic>
          <a:graphicData uri="http://schemas.openxmlformats.org/drawingml/2006/chart">
            <c:chart xmlns:c="http://schemas.openxmlformats.org/drawingml/2006/chart" xmlns:r="http://schemas.openxmlformats.org/officeDocument/2006/relationships" r:id="rId14"/>
          </a:graphicData>
        </a:graphic>
      </xdr:graphicFrame>
      <xdr:sp macro="" textlink="Data_Analysis!$AD$21">
        <xdr:nvSpPr>
          <xdr:cNvPr id="7251" name="TextBox 7250">
            <a:extLst>
              <a:ext uri="{FF2B5EF4-FFF2-40B4-BE49-F238E27FC236}">
                <a16:creationId xmlns:a16="http://schemas.microsoft.com/office/drawing/2014/main" id="{9F6229FB-693B-87CC-8367-77620FE6B256}"/>
              </a:ext>
            </a:extLst>
          </xdr:cNvPr>
          <xdr:cNvSpPr txBox="1"/>
        </xdr:nvSpPr>
        <xdr:spPr>
          <a:xfrm>
            <a:off x="12134850" y="6953250"/>
            <a:ext cx="5429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A63EFA-830B-45A8-A410-FF4DDC7486DB}" type="TxLink">
              <a:rPr lang="en-US" sz="900" b="0" i="0" u="none" strike="noStrike">
                <a:solidFill>
                  <a:schemeClr val="bg1"/>
                </a:solidFill>
                <a:latin typeface="Calibri"/>
                <a:ea typeface="Calibri"/>
                <a:cs typeface="Calibri"/>
              </a:rPr>
              <a:pPr/>
              <a:t>#REF!</a:t>
            </a:fld>
            <a:endParaRPr lang="en-US" sz="300">
              <a:solidFill>
                <a:schemeClr val="bg1"/>
              </a:solidFill>
            </a:endParaRPr>
          </a:p>
        </xdr:txBody>
      </xdr:sp>
    </xdr:grpSp>
    <xdr:clientData/>
  </xdr:twoCellAnchor>
  <xdr:twoCellAnchor editAs="absolute">
    <xdr:from>
      <xdr:col>17</xdr:col>
      <xdr:colOff>85724</xdr:colOff>
      <xdr:row>9</xdr:row>
      <xdr:rowOff>241935</xdr:rowOff>
    </xdr:from>
    <xdr:to>
      <xdr:col>17</xdr:col>
      <xdr:colOff>808100</xdr:colOff>
      <xdr:row>14</xdr:row>
      <xdr:rowOff>59436</xdr:rowOff>
    </xdr:to>
    <xdr:grpSp>
      <xdr:nvGrpSpPr>
        <xdr:cNvPr id="7273" name="Group 7272">
          <a:extLst>
            <a:ext uri="{FF2B5EF4-FFF2-40B4-BE49-F238E27FC236}">
              <a16:creationId xmlns:a16="http://schemas.microsoft.com/office/drawing/2014/main" id="{95C40E22-0BD4-744E-D0D6-E1E710A7A3FD}"/>
            </a:ext>
          </a:extLst>
        </xdr:cNvPr>
        <xdr:cNvGrpSpPr/>
      </xdr:nvGrpSpPr>
      <xdr:grpSpPr>
        <a:xfrm>
          <a:off x="12519024" y="1810385"/>
          <a:ext cx="722376" cy="706501"/>
          <a:chOff x="11887199" y="1880235"/>
          <a:chExt cx="722376" cy="722376"/>
        </a:xfrm>
      </xdr:grpSpPr>
      <xdr:graphicFrame macro="">
        <xdr:nvGraphicFramePr>
          <xdr:cNvPr id="7255" name="Chart 7254">
            <a:extLst>
              <a:ext uri="{FF2B5EF4-FFF2-40B4-BE49-F238E27FC236}">
                <a16:creationId xmlns:a16="http://schemas.microsoft.com/office/drawing/2014/main" id="{6AAE889C-35B9-46C8-873F-CFA2CFC64BE0}"/>
              </a:ext>
            </a:extLst>
          </xdr:cNvPr>
          <xdr:cNvGraphicFramePr>
            <a:graphicFrameLocks/>
          </xdr:cNvGraphicFramePr>
        </xdr:nvGraphicFramePr>
        <xdr:xfrm>
          <a:off x="11887199" y="1880235"/>
          <a:ext cx="722376" cy="722376"/>
        </xdr:xfrm>
        <a:graphic>
          <a:graphicData uri="http://schemas.openxmlformats.org/drawingml/2006/chart">
            <c:chart xmlns:c="http://schemas.openxmlformats.org/drawingml/2006/chart" xmlns:r="http://schemas.openxmlformats.org/officeDocument/2006/relationships" r:id="rId15"/>
          </a:graphicData>
        </a:graphic>
      </xdr:graphicFrame>
      <xdr:sp macro="" textlink="Data_Analysis!$AD$27">
        <xdr:nvSpPr>
          <xdr:cNvPr id="7256" name="TextBox 7255">
            <a:extLst>
              <a:ext uri="{FF2B5EF4-FFF2-40B4-BE49-F238E27FC236}">
                <a16:creationId xmlns:a16="http://schemas.microsoft.com/office/drawing/2014/main" id="{1F3C948E-66BE-B240-3773-D071CD07D17F}"/>
              </a:ext>
            </a:extLst>
          </xdr:cNvPr>
          <xdr:cNvSpPr txBox="1"/>
        </xdr:nvSpPr>
        <xdr:spPr>
          <a:xfrm>
            <a:off x="12011025" y="2114550"/>
            <a:ext cx="5048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2D5620-163F-40CF-803D-9DDD316C2593}" type="TxLink">
              <a:rPr lang="en-US" sz="900" b="0" i="0" u="none" strike="noStrike">
                <a:solidFill>
                  <a:schemeClr val="bg1"/>
                </a:solidFill>
                <a:latin typeface="Calibri"/>
                <a:ea typeface="Calibri"/>
                <a:cs typeface="Calibri"/>
              </a:rPr>
              <a:pPr/>
              <a:t>#REF!</a:t>
            </a:fld>
            <a:endParaRPr lang="en-US" sz="100">
              <a:solidFill>
                <a:schemeClr val="bg1"/>
              </a:solidFill>
            </a:endParaRPr>
          </a:p>
        </xdr:txBody>
      </xdr:sp>
    </xdr:grpSp>
    <xdr:clientData/>
  </xdr:twoCellAnchor>
  <xdr:twoCellAnchor editAs="absolute">
    <xdr:from>
      <xdr:col>17</xdr:col>
      <xdr:colOff>37837</xdr:colOff>
      <xdr:row>39</xdr:row>
      <xdr:rowOff>32516</xdr:rowOff>
    </xdr:from>
    <xdr:to>
      <xdr:col>17</xdr:col>
      <xdr:colOff>760213</xdr:colOff>
      <xdr:row>43</xdr:row>
      <xdr:rowOff>107192</xdr:rowOff>
    </xdr:to>
    <xdr:grpSp>
      <xdr:nvGrpSpPr>
        <xdr:cNvPr id="7266" name="Group 7265">
          <a:extLst>
            <a:ext uri="{FF2B5EF4-FFF2-40B4-BE49-F238E27FC236}">
              <a16:creationId xmlns:a16="http://schemas.microsoft.com/office/drawing/2014/main" id="{589A5E2A-7D8E-14AB-C0BC-CF527207011C}"/>
            </a:ext>
          </a:extLst>
        </xdr:cNvPr>
        <xdr:cNvGrpSpPr/>
      </xdr:nvGrpSpPr>
      <xdr:grpSpPr>
        <a:xfrm>
          <a:off x="12467962" y="7011166"/>
          <a:ext cx="722376" cy="703326"/>
          <a:chOff x="11991712" y="7319141"/>
          <a:chExt cx="722376" cy="722376"/>
        </a:xfrm>
      </xdr:grpSpPr>
      <xdr:graphicFrame macro="">
        <xdr:nvGraphicFramePr>
          <xdr:cNvPr id="7257" name="Chart 7256">
            <a:extLst>
              <a:ext uri="{FF2B5EF4-FFF2-40B4-BE49-F238E27FC236}">
                <a16:creationId xmlns:a16="http://schemas.microsoft.com/office/drawing/2014/main" id="{71A77FAE-221F-473D-AD8A-561CEBBE0A7D}"/>
              </a:ext>
            </a:extLst>
          </xdr:cNvPr>
          <xdr:cNvGraphicFramePr>
            <a:graphicFrameLocks/>
          </xdr:cNvGraphicFramePr>
        </xdr:nvGraphicFramePr>
        <xdr:xfrm>
          <a:off x="11991712" y="7319141"/>
          <a:ext cx="722376" cy="722376"/>
        </xdr:xfrm>
        <a:graphic>
          <a:graphicData uri="http://schemas.openxmlformats.org/drawingml/2006/chart">
            <c:chart xmlns:c="http://schemas.openxmlformats.org/drawingml/2006/chart" xmlns:r="http://schemas.openxmlformats.org/officeDocument/2006/relationships" r:id="rId16"/>
          </a:graphicData>
        </a:graphic>
      </xdr:graphicFrame>
      <xdr:sp macro="" textlink="Data_Analysis!$AD$30">
        <xdr:nvSpPr>
          <xdr:cNvPr id="7258" name="TextBox 7257">
            <a:extLst>
              <a:ext uri="{FF2B5EF4-FFF2-40B4-BE49-F238E27FC236}">
                <a16:creationId xmlns:a16="http://schemas.microsoft.com/office/drawing/2014/main" id="{8F81EB65-22A8-F0D9-22F5-BDB242B6368B}"/>
              </a:ext>
            </a:extLst>
          </xdr:cNvPr>
          <xdr:cNvSpPr txBox="1"/>
        </xdr:nvSpPr>
        <xdr:spPr>
          <a:xfrm>
            <a:off x="12115801" y="7562850"/>
            <a:ext cx="514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0E9B48-FF21-41B0-8A15-86D75E510F94}" type="TxLink">
              <a:rPr lang="en-US" sz="900" b="0" i="0" u="none" strike="noStrike">
                <a:solidFill>
                  <a:schemeClr val="bg1"/>
                </a:solidFill>
                <a:latin typeface="Calibri"/>
                <a:ea typeface="Calibri"/>
                <a:cs typeface="Calibri"/>
              </a:rPr>
              <a:pPr/>
              <a:t>#REF!</a:t>
            </a:fld>
            <a:endParaRPr lang="en-US" sz="100">
              <a:solidFill>
                <a:schemeClr val="bg1"/>
              </a:solidFill>
            </a:endParaRPr>
          </a:p>
        </xdr:txBody>
      </xdr:sp>
    </xdr:grpSp>
    <xdr:clientData/>
  </xdr:twoCellAnchor>
  <xdr:twoCellAnchor editAs="absolute">
    <xdr:from>
      <xdr:col>17</xdr:col>
      <xdr:colOff>57941</xdr:colOff>
      <xdr:row>29</xdr:row>
      <xdr:rowOff>102213</xdr:rowOff>
    </xdr:from>
    <xdr:to>
      <xdr:col>17</xdr:col>
      <xdr:colOff>780317</xdr:colOff>
      <xdr:row>33</xdr:row>
      <xdr:rowOff>62589</xdr:rowOff>
    </xdr:to>
    <xdr:grpSp>
      <xdr:nvGrpSpPr>
        <xdr:cNvPr id="7268" name="Group 7267">
          <a:extLst>
            <a:ext uri="{FF2B5EF4-FFF2-40B4-BE49-F238E27FC236}">
              <a16:creationId xmlns:a16="http://schemas.microsoft.com/office/drawing/2014/main" id="{A8B5B8B6-E275-0308-EE7A-4F7782EBF5C9}"/>
            </a:ext>
          </a:extLst>
        </xdr:cNvPr>
        <xdr:cNvGrpSpPr/>
      </xdr:nvGrpSpPr>
      <xdr:grpSpPr>
        <a:xfrm>
          <a:off x="12488066" y="5277463"/>
          <a:ext cx="722376" cy="684276"/>
          <a:chOff x="11973716" y="5483838"/>
          <a:chExt cx="722376" cy="722376"/>
        </a:xfrm>
      </xdr:grpSpPr>
      <xdr:graphicFrame macro="">
        <xdr:nvGraphicFramePr>
          <xdr:cNvPr id="7259" name="Chart 7258">
            <a:extLst>
              <a:ext uri="{FF2B5EF4-FFF2-40B4-BE49-F238E27FC236}">
                <a16:creationId xmlns:a16="http://schemas.microsoft.com/office/drawing/2014/main" id="{75CB4503-93EF-4C0A-851F-F08CF39A93C2}"/>
              </a:ext>
            </a:extLst>
          </xdr:cNvPr>
          <xdr:cNvGraphicFramePr>
            <a:graphicFrameLocks/>
          </xdr:cNvGraphicFramePr>
        </xdr:nvGraphicFramePr>
        <xdr:xfrm>
          <a:off x="11973716" y="5483838"/>
          <a:ext cx="722376" cy="722376"/>
        </xdr:xfrm>
        <a:graphic>
          <a:graphicData uri="http://schemas.openxmlformats.org/drawingml/2006/chart">
            <c:chart xmlns:c="http://schemas.openxmlformats.org/drawingml/2006/chart" xmlns:r="http://schemas.openxmlformats.org/officeDocument/2006/relationships" r:id="rId17"/>
          </a:graphicData>
        </a:graphic>
      </xdr:graphicFrame>
      <xdr:sp macro="" textlink="Data_Analysis!$AD$33">
        <xdr:nvSpPr>
          <xdr:cNvPr id="7261" name="TextBox 7260">
            <a:extLst>
              <a:ext uri="{FF2B5EF4-FFF2-40B4-BE49-F238E27FC236}">
                <a16:creationId xmlns:a16="http://schemas.microsoft.com/office/drawing/2014/main" id="{A32445F1-54EF-B189-7D51-011B08D4D77F}"/>
              </a:ext>
            </a:extLst>
          </xdr:cNvPr>
          <xdr:cNvSpPr txBox="1"/>
        </xdr:nvSpPr>
        <xdr:spPr>
          <a:xfrm>
            <a:off x="12077701" y="5715000"/>
            <a:ext cx="552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1D6EDA-79C6-4B7C-B8E7-66F65CCFDAB0}" type="TxLink">
              <a:rPr lang="en-US" sz="1000" b="0" i="0" u="none" strike="noStrike">
                <a:solidFill>
                  <a:schemeClr val="bg1"/>
                </a:solidFill>
                <a:latin typeface="Calibri"/>
                <a:ea typeface="Calibri"/>
                <a:cs typeface="Calibri"/>
              </a:rPr>
              <a:pPr/>
              <a:t>#REF!</a:t>
            </a:fld>
            <a:endParaRPr lang="en-US" sz="400">
              <a:solidFill>
                <a:schemeClr val="bg1"/>
              </a:solidFill>
            </a:endParaRPr>
          </a:p>
        </xdr:txBody>
      </xdr:sp>
    </xdr:grpSp>
    <xdr:clientData/>
  </xdr:twoCellAnchor>
  <xdr:twoCellAnchor editAs="absolute">
    <xdr:from>
      <xdr:col>14</xdr:col>
      <xdr:colOff>119818</xdr:colOff>
      <xdr:row>43</xdr:row>
      <xdr:rowOff>42107</xdr:rowOff>
    </xdr:from>
    <xdr:to>
      <xdr:col>17</xdr:col>
      <xdr:colOff>817048</xdr:colOff>
      <xdr:row>47</xdr:row>
      <xdr:rowOff>19050</xdr:rowOff>
    </xdr:to>
    <xdr:sp macro="" textlink="">
      <xdr:nvSpPr>
        <xdr:cNvPr id="7262" name="Rectangle: Rounded Corners 7261">
          <a:extLst>
            <a:ext uri="{FF2B5EF4-FFF2-40B4-BE49-F238E27FC236}">
              <a16:creationId xmlns:a16="http://schemas.microsoft.com/office/drawing/2014/main" id="{51B9DAED-6F84-3EEC-0593-01ED31254DB9}"/>
            </a:ext>
          </a:extLst>
        </xdr:cNvPr>
        <xdr:cNvSpPr/>
      </xdr:nvSpPr>
      <xdr:spPr>
        <a:xfrm>
          <a:off x="9425743" y="8005007"/>
          <a:ext cx="3240405" cy="662743"/>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221441</xdr:colOff>
      <xdr:row>43</xdr:row>
      <xdr:rowOff>45589</xdr:rowOff>
    </xdr:from>
    <xdr:to>
      <xdr:col>15</xdr:col>
      <xdr:colOff>371475</xdr:colOff>
      <xdr:row>47</xdr:row>
      <xdr:rowOff>0</xdr:rowOff>
    </xdr:to>
    <xdr:sp macro="" textlink="">
      <xdr:nvSpPr>
        <xdr:cNvPr id="7263" name="TextBox 7262">
          <a:extLst>
            <a:ext uri="{FF2B5EF4-FFF2-40B4-BE49-F238E27FC236}">
              <a16:creationId xmlns:a16="http://schemas.microsoft.com/office/drawing/2014/main" id="{4ACA1E14-AC00-9413-E506-D5C0F83BFDE4}"/>
            </a:ext>
          </a:extLst>
        </xdr:cNvPr>
        <xdr:cNvSpPr txBox="1"/>
      </xdr:nvSpPr>
      <xdr:spPr>
        <a:xfrm>
          <a:off x="9527366" y="8008489"/>
          <a:ext cx="940609" cy="630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AK</a:t>
          </a:r>
          <a:r>
            <a:rPr lang="en-US" sz="1100" b="0" baseline="0">
              <a:solidFill>
                <a:schemeClr val="bg1"/>
              </a:solidFill>
            </a:rPr>
            <a:t> GUEST HOUSE, LAGOS</a:t>
          </a:r>
          <a:r>
            <a:rPr lang="en-US" sz="1100" b="0">
              <a:solidFill>
                <a:schemeClr val="bg1"/>
              </a:solidFill>
            </a:rPr>
            <a:t> -</a:t>
          </a:r>
        </a:p>
      </xdr:txBody>
    </xdr:sp>
    <xdr:clientData/>
  </xdr:twoCellAnchor>
  <xdr:twoCellAnchor editAs="absolute">
    <xdr:from>
      <xdr:col>17</xdr:col>
      <xdr:colOff>53143</xdr:colOff>
      <xdr:row>42</xdr:row>
      <xdr:rowOff>55441</xdr:rowOff>
    </xdr:from>
    <xdr:to>
      <xdr:col>17</xdr:col>
      <xdr:colOff>775519</xdr:colOff>
      <xdr:row>47</xdr:row>
      <xdr:rowOff>15817</xdr:rowOff>
    </xdr:to>
    <xdr:grpSp>
      <xdr:nvGrpSpPr>
        <xdr:cNvPr id="7264" name="Group 7263">
          <a:extLst>
            <a:ext uri="{FF2B5EF4-FFF2-40B4-BE49-F238E27FC236}">
              <a16:creationId xmlns:a16="http://schemas.microsoft.com/office/drawing/2014/main" id="{FFB99CE8-27B4-FBF8-325A-58ED7A7A205F}"/>
            </a:ext>
          </a:extLst>
        </xdr:cNvPr>
        <xdr:cNvGrpSpPr/>
      </xdr:nvGrpSpPr>
      <xdr:grpSpPr>
        <a:xfrm>
          <a:off x="12480093" y="7580191"/>
          <a:ext cx="722376" cy="700151"/>
          <a:chOff x="11987968" y="6094291"/>
          <a:chExt cx="722376" cy="722376"/>
        </a:xfrm>
      </xdr:grpSpPr>
      <xdr:graphicFrame macro="">
        <xdr:nvGraphicFramePr>
          <xdr:cNvPr id="7253" name="Chart 7252">
            <a:extLst>
              <a:ext uri="{FF2B5EF4-FFF2-40B4-BE49-F238E27FC236}">
                <a16:creationId xmlns:a16="http://schemas.microsoft.com/office/drawing/2014/main" id="{46039A0F-1093-4DC0-B25E-055A49C8C2EF}"/>
              </a:ext>
            </a:extLst>
          </xdr:cNvPr>
          <xdr:cNvGraphicFramePr>
            <a:graphicFrameLocks/>
          </xdr:cNvGraphicFramePr>
        </xdr:nvGraphicFramePr>
        <xdr:xfrm>
          <a:off x="11987968" y="6094291"/>
          <a:ext cx="722376" cy="722376"/>
        </xdr:xfrm>
        <a:graphic>
          <a:graphicData uri="http://schemas.openxmlformats.org/drawingml/2006/chart">
            <c:chart xmlns:c="http://schemas.openxmlformats.org/drawingml/2006/chart" xmlns:r="http://schemas.openxmlformats.org/officeDocument/2006/relationships" r:id="rId18"/>
          </a:graphicData>
        </a:graphic>
      </xdr:graphicFrame>
      <xdr:sp macro="" textlink="Data_Analysis!$AD$24">
        <xdr:nvSpPr>
          <xdr:cNvPr id="7254" name="TextBox 7253">
            <a:extLst>
              <a:ext uri="{FF2B5EF4-FFF2-40B4-BE49-F238E27FC236}">
                <a16:creationId xmlns:a16="http://schemas.microsoft.com/office/drawing/2014/main" id="{F081DBB4-2A98-2A46-FD2B-2BD127E88EC8}"/>
              </a:ext>
            </a:extLst>
          </xdr:cNvPr>
          <xdr:cNvSpPr txBox="1"/>
        </xdr:nvSpPr>
        <xdr:spPr>
          <a:xfrm>
            <a:off x="12106275" y="6324600"/>
            <a:ext cx="5429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A1E198-0D5C-47B6-A7D1-089047BCFC1B}" type="TxLink">
              <a:rPr lang="en-US" sz="900" b="0" i="0" u="none" strike="noStrike">
                <a:solidFill>
                  <a:schemeClr val="bg1"/>
                </a:solidFill>
                <a:latin typeface="Calibri"/>
                <a:ea typeface="Calibri"/>
                <a:cs typeface="Calibri"/>
              </a:rPr>
              <a:pPr/>
              <a:t>#REF!</a:t>
            </a:fld>
            <a:endParaRPr lang="en-US" sz="100">
              <a:solidFill>
                <a:schemeClr val="bg1"/>
              </a:solidFill>
            </a:endParaRPr>
          </a:p>
        </xdr:txBody>
      </xdr:sp>
    </xdr:grpSp>
    <xdr:clientData/>
  </xdr:twoCellAnchor>
  <xdr:twoCellAnchor editAs="absolute">
    <xdr:from>
      <xdr:col>15</xdr:col>
      <xdr:colOff>474346</xdr:colOff>
      <xdr:row>44</xdr:row>
      <xdr:rowOff>91440</xdr:rowOff>
    </xdr:from>
    <xdr:to>
      <xdr:col>16</xdr:col>
      <xdr:colOff>885826</xdr:colOff>
      <xdr:row>46</xdr:row>
      <xdr:rowOff>0</xdr:rowOff>
    </xdr:to>
    <xdr:sp macro="" textlink="Data_Analysis!$AC$24">
      <xdr:nvSpPr>
        <xdr:cNvPr id="7265" name="TextBox 7264">
          <a:extLst>
            <a:ext uri="{FF2B5EF4-FFF2-40B4-BE49-F238E27FC236}">
              <a16:creationId xmlns:a16="http://schemas.microsoft.com/office/drawing/2014/main" id="{C56EFE57-6616-E621-33CA-C766175774A9}"/>
            </a:ext>
          </a:extLst>
        </xdr:cNvPr>
        <xdr:cNvSpPr txBox="1"/>
      </xdr:nvSpPr>
      <xdr:spPr>
        <a:xfrm>
          <a:off x="10570846" y="8168640"/>
          <a:ext cx="1249680"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C5C90DA-CF4E-484C-9D0F-C72104DCD5DD}"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oneCell">
    <xdr:from>
      <xdr:col>0</xdr:col>
      <xdr:colOff>152400</xdr:colOff>
      <xdr:row>90</xdr:row>
      <xdr:rowOff>47625</xdr:rowOff>
    </xdr:from>
    <xdr:to>
      <xdr:col>5</xdr:col>
      <xdr:colOff>523875</xdr:colOff>
      <xdr:row>113</xdr:row>
      <xdr:rowOff>95250</xdr:rowOff>
    </xdr:to>
    <mc:AlternateContent xmlns:mc="http://schemas.openxmlformats.org/markup-compatibility/2006" xmlns:a14="http://schemas.microsoft.com/office/drawing/2010/main">
      <mc:Choice Requires="a14">
        <xdr:graphicFrame macro="">
          <xdr:nvGraphicFramePr>
            <xdr:cNvPr id="7275" name="VEHICLE REG NO. 1">
              <a:extLst>
                <a:ext uri="{FF2B5EF4-FFF2-40B4-BE49-F238E27FC236}">
                  <a16:creationId xmlns:a16="http://schemas.microsoft.com/office/drawing/2014/main" id="{2766A804-C7C1-4C2C-92C6-E1E4C3B56BDD}"/>
                </a:ext>
              </a:extLst>
            </xdr:cNvPr>
            <xdr:cNvGraphicFramePr/>
          </xdr:nvGraphicFramePr>
          <xdr:xfrm>
            <a:off x="0" y="0"/>
            <a:ext cx="0" cy="0"/>
          </xdr:xfrm>
          <a:graphic>
            <a:graphicData uri="http://schemas.microsoft.com/office/drawing/2010/slicer">
              <sle:slicer xmlns:sle="http://schemas.microsoft.com/office/drawing/2010/slicer" name="VEHICLE REG NO. 1"/>
            </a:graphicData>
          </a:graphic>
        </xdr:graphicFrame>
      </mc:Choice>
      <mc:Fallback xmlns="">
        <xdr:sp macro="" textlink="">
          <xdr:nvSpPr>
            <xdr:cNvPr id="0" name=""/>
            <xdr:cNvSpPr>
              <a:spLocks noTextEdit="1"/>
            </xdr:cNvSpPr>
          </xdr:nvSpPr>
          <xdr:spPr>
            <a:xfrm>
              <a:off x="152400" y="16821150"/>
              <a:ext cx="2895600" cy="442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90</xdr:row>
      <xdr:rowOff>180975</xdr:rowOff>
    </xdr:from>
    <xdr:to>
      <xdr:col>11</xdr:col>
      <xdr:colOff>114300</xdr:colOff>
      <xdr:row>98</xdr:row>
      <xdr:rowOff>28575</xdr:rowOff>
    </xdr:to>
    <mc:AlternateContent xmlns:mc="http://schemas.openxmlformats.org/markup-compatibility/2006" xmlns:tsle="http://schemas.microsoft.com/office/drawing/2012/timeslicer">
      <mc:Choice Requires="tsle">
        <xdr:graphicFrame macro="">
          <xdr:nvGraphicFramePr>
            <xdr:cNvPr id="7276" name="DATE OF REQUEST 3">
              <a:extLst>
                <a:ext uri="{FF2B5EF4-FFF2-40B4-BE49-F238E27FC236}">
                  <a16:creationId xmlns:a16="http://schemas.microsoft.com/office/drawing/2014/main" id="{20E33291-97F3-4179-AC3B-E33CB99F18A8}"/>
                </a:ext>
              </a:extLst>
            </xdr:cNvPr>
            <xdr:cNvGraphicFramePr/>
          </xdr:nvGraphicFramePr>
          <xdr:xfrm>
            <a:off x="0" y="0"/>
            <a:ext cx="0" cy="0"/>
          </xdr:xfrm>
          <a:graphic>
            <a:graphicData uri="http://schemas.microsoft.com/office/drawing/2012/timeslicer">
              <tsle:timeslicer name="DATE OF REQUEST 3"/>
            </a:graphicData>
          </a:graphic>
        </xdr:graphicFrame>
      </mc:Choice>
      <mc:Fallback xmlns="">
        <xdr:sp macro="" textlink="">
          <xdr:nvSpPr>
            <xdr:cNvPr id="0" name=""/>
            <xdr:cNvSpPr>
              <a:spLocks noTextEdit="1"/>
            </xdr:cNvSpPr>
          </xdr:nvSpPr>
          <xdr:spPr>
            <a:xfrm>
              <a:off x="3267075" y="16954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2</xdr:col>
      <xdr:colOff>0</xdr:colOff>
      <xdr:row>120</xdr:row>
      <xdr:rowOff>28575</xdr:rowOff>
    </xdr:from>
    <xdr:to>
      <xdr:col>7</xdr:col>
      <xdr:colOff>624232</xdr:colOff>
      <xdr:row>123</xdr:row>
      <xdr:rowOff>55969</xdr:rowOff>
    </xdr:to>
    <xdr:sp macro="" textlink="">
      <xdr:nvSpPr>
        <xdr:cNvPr id="7278" name="TextBox 7277">
          <a:extLst>
            <a:ext uri="{FF2B5EF4-FFF2-40B4-BE49-F238E27FC236}">
              <a16:creationId xmlns:a16="http://schemas.microsoft.com/office/drawing/2014/main" id="{1B7EFFC5-B751-3131-91DC-084670AFEB98}"/>
            </a:ext>
          </a:extLst>
        </xdr:cNvPr>
        <xdr:cNvSpPr txBox="1"/>
      </xdr:nvSpPr>
      <xdr:spPr>
        <a:xfrm>
          <a:off x="752475" y="22517100"/>
          <a:ext cx="3681757" cy="598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rPr>
            <a:t>MONTHLY</a:t>
          </a:r>
          <a:r>
            <a:rPr lang="en-US" sz="1200" b="0" baseline="0">
              <a:solidFill>
                <a:schemeClr val="bg1"/>
              </a:solidFill>
            </a:rPr>
            <a:t> EQUIPMENT MAINTENANCE COST / PERCENTAGE CHANGE</a:t>
          </a:r>
          <a:endParaRPr lang="en-US" sz="1200" b="0">
            <a:solidFill>
              <a:schemeClr val="bg1"/>
            </a:solidFill>
          </a:endParaRPr>
        </a:p>
      </xdr:txBody>
    </xdr:sp>
    <xdr:clientData/>
  </xdr:twoCellAnchor>
  <xdr:twoCellAnchor editAs="oneCell">
    <xdr:from>
      <xdr:col>0</xdr:col>
      <xdr:colOff>123825</xdr:colOff>
      <xdr:row>146</xdr:row>
      <xdr:rowOff>19049</xdr:rowOff>
    </xdr:from>
    <xdr:to>
      <xdr:col>6</xdr:col>
      <xdr:colOff>285751</xdr:colOff>
      <xdr:row>159</xdr:row>
      <xdr:rowOff>38100</xdr:rowOff>
    </xdr:to>
    <mc:AlternateContent xmlns:mc="http://schemas.openxmlformats.org/markup-compatibility/2006" xmlns:a14="http://schemas.microsoft.com/office/drawing/2010/main">
      <mc:Choice Requires="a14">
        <xdr:graphicFrame macro="">
          <xdr:nvGraphicFramePr>
            <xdr:cNvPr id="7281" name="ASSET DESCRIPTION 1">
              <a:extLst>
                <a:ext uri="{FF2B5EF4-FFF2-40B4-BE49-F238E27FC236}">
                  <a16:creationId xmlns:a16="http://schemas.microsoft.com/office/drawing/2014/main" id="{6719B922-2CDD-4A96-A6DF-B72BC58143C8}"/>
                </a:ext>
              </a:extLst>
            </xdr:cNvPr>
            <xdr:cNvGraphicFramePr/>
          </xdr:nvGraphicFramePr>
          <xdr:xfrm>
            <a:off x="0" y="0"/>
            <a:ext cx="0" cy="0"/>
          </xdr:xfrm>
          <a:graphic>
            <a:graphicData uri="http://schemas.microsoft.com/office/drawing/2010/slicer">
              <sle:slicer xmlns:sle="http://schemas.microsoft.com/office/drawing/2010/slicer" name="ASSET DESCRIPTION 1"/>
            </a:graphicData>
          </a:graphic>
        </xdr:graphicFrame>
      </mc:Choice>
      <mc:Fallback xmlns="">
        <xdr:sp macro="" textlink="">
          <xdr:nvSpPr>
            <xdr:cNvPr id="0" name=""/>
            <xdr:cNvSpPr>
              <a:spLocks noTextEdit="1"/>
            </xdr:cNvSpPr>
          </xdr:nvSpPr>
          <xdr:spPr>
            <a:xfrm>
              <a:off x="123825" y="27470099"/>
              <a:ext cx="3276601" cy="2495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114300</xdr:colOff>
      <xdr:row>142</xdr:row>
      <xdr:rowOff>85725</xdr:rowOff>
    </xdr:from>
    <xdr:to>
      <xdr:col>6</xdr:col>
      <xdr:colOff>238125</xdr:colOff>
      <xdr:row>144</xdr:row>
      <xdr:rowOff>76201</xdr:rowOff>
    </xdr:to>
    <xdr:sp macro="" textlink="">
      <xdr:nvSpPr>
        <xdr:cNvPr id="7282" name="Rectangle 7281">
          <a:extLst>
            <a:ext uri="{FF2B5EF4-FFF2-40B4-BE49-F238E27FC236}">
              <a16:creationId xmlns:a16="http://schemas.microsoft.com/office/drawing/2014/main" id="{FEA27F2E-2608-4A4D-B1DB-007AFADFD1D5}"/>
            </a:ext>
          </a:extLst>
        </xdr:cNvPr>
        <xdr:cNvSpPr/>
      </xdr:nvSpPr>
      <xdr:spPr>
        <a:xfrm>
          <a:off x="114300" y="26774775"/>
          <a:ext cx="3238500" cy="371476"/>
        </a:xfrm>
        <a:prstGeom prst="rect">
          <a:avLst/>
        </a:prstGeom>
        <a:noFill/>
        <a:ln w="31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t>EACH EQUIPMENT  REPAIR / MAINTENANCE COST</a:t>
          </a:r>
        </a:p>
      </xdr:txBody>
    </xdr:sp>
    <xdr:clientData/>
  </xdr:twoCellAnchor>
  <xdr:twoCellAnchor editAs="absolute">
    <xdr:from>
      <xdr:col>2</xdr:col>
      <xdr:colOff>133350</xdr:colOff>
      <xdr:row>169</xdr:row>
      <xdr:rowOff>163278</xdr:rowOff>
    </xdr:from>
    <xdr:to>
      <xdr:col>7</xdr:col>
      <xdr:colOff>757582</xdr:colOff>
      <xdr:row>173</xdr:row>
      <xdr:rowOff>19049</xdr:rowOff>
    </xdr:to>
    <xdr:sp macro="" textlink="">
      <xdr:nvSpPr>
        <xdr:cNvPr id="7284" name="TextBox 7283">
          <a:extLst>
            <a:ext uri="{FF2B5EF4-FFF2-40B4-BE49-F238E27FC236}">
              <a16:creationId xmlns:a16="http://schemas.microsoft.com/office/drawing/2014/main" id="{9BC94BE3-F3B5-5965-3678-CB20EB207A04}"/>
            </a:ext>
          </a:extLst>
        </xdr:cNvPr>
        <xdr:cNvSpPr txBox="1"/>
      </xdr:nvSpPr>
      <xdr:spPr>
        <a:xfrm>
          <a:off x="885825" y="31995828"/>
          <a:ext cx="3681757" cy="61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rPr>
            <a:t>MONTHLY</a:t>
          </a:r>
          <a:r>
            <a:rPr lang="en-US" sz="1200" b="0" baseline="0">
              <a:solidFill>
                <a:schemeClr val="bg1"/>
              </a:solidFill>
            </a:rPr>
            <a:t>  FACILITY MAINTENANCE COST / </a:t>
          </a:r>
          <a:r>
            <a:rPr lang="en-US" sz="1200" b="0" baseline="0">
              <a:solidFill>
                <a:schemeClr val="bg1"/>
              </a:solidFill>
              <a:effectLst/>
              <a:latin typeface="+mn-lt"/>
              <a:ea typeface="+mn-ea"/>
              <a:cs typeface="+mn-cs"/>
            </a:rPr>
            <a:t>COST / PERCENTAGE CHANGE</a:t>
          </a:r>
          <a:endParaRPr lang="en-US" sz="1200" b="0">
            <a:solidFill>
              <a:schemeClr val="bg1"/>
            </a:solidFill>
          </a:endParaRPr>
        </a:p>
      </xdr:txBody>
    </xdr:sp>
    <xdr:clientData/>
  </xdr:twoCellAnchor>
  <xdr:twoCellAnchor editAs="oneCell">
    <xdr:from>
      <xdr:col>0</xdr:col>
      <xdr:colOff>209550</xdr:colOff>
      <xdr:row>194</xdr:row>
      <xdr:rowOff>0</xdr:rowOff>
    </xdr:from>
    <xdr:to>
      <xdr:col>5</xdr:col>
      <xdr:colOff>76200</xdr:colOff>
      <xdr:row>209</xdr:row>
      <xdr:rowOff>1</xdr:rowOff>
    </xdr:to>
    <mc:AlternateContent xmlns:mc="http://schemas.openxmlformats.org/markup-compatibility/2006" xmlns:a14="http://schemas.microsoft.com/office/drawing/2010/main">
      <mc:Choice Requires="a14">
        <xdr:graphicFrame macro="">
          <xdr:nvGraphicFramePr>
            <xdr:cNvPr id="7285" name="LOCATION 1">
              <a:extLst>
                <a:ext uri="{FF2B5EF4-FFF2-40B4-BE49-F238E27FC236}">
                  <a16:creationId xmlns:a16="http://schemas.microsoft.com/office/drawing/2014/main" id="{7D3DADE5-02EB-4B25-9E79-336F4CC3777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09550" y="36595050"/>
              <a:ext cx="2390775" cy="2857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171450</xdr:colOff>
      <xdr:row>190</xdr:row>
      <xdr:rowOff>66675</xdr:rowOff>
    </xdr:from>
    <xdr:to>
      <xdr:col>6</xdr:col>
      <xdr:colOff>295275</xdr:colOff>
      <xdr:row>192</xdr:row>
      <xdr:rowOff>57151</xdr:rowOff>
    </xdr:to>
    <xdr:sp macro="" textlink="">
      <xdr:nvSpPr>
        <xdr:cNvPr id="7286" name="Rectangle 7285">
          <a:extLst>
            <a:ext uri="{FF2B5EF4-FFF2-40B4-BE49-F238E27FC236}">
              <a16:creationId xmlns:a16="http://schemas.microsoft.com/office/drawing/2014/main" id="{E9674B59-D81F-0678-855A-0D670C95FB87}"/>
            </a:ext>
          </a:extLst>
        </xdr:cNvPr>
        <xdr:cNvSpPr/>
      </xdr:nvSpPr>
      <xdr:spPr>
        <a:xfrm>
          <a:off x="171450" y="35899725"/>
          <a:ext cx="3238500" cy="371476"/>
        </a:xfrm>
        <a:prstGeom prst="rect">
          <a:avLst/>
        </a:prstGeom>
        <a:noFill/>
        <a:ln w="31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EACH FACILITY REPAIR / MAINTENANCE COST</a:t>
          </a:r>
        </a:p>
      </xdr:txBody>
    </xdr:sp>
    <xdr:clientData/>
  </xdr:twoCellAnchor>
  <xdr:twoCellAnchor editAs="absolute">
    <xdr:from>
      <xdr:col>6</xdr:col>
      <xdr:colOff>464820</xdr:colOff>
      <xdr:row>143</xdr:row>
      <xdr:rowOff>133350</xdr:rowOff>
    </xdr:from>
    <xdr:to>
      <xdr:col>8</xdr:col>
      <xdr:colOff>246211</xdr:colOff>
      <xdr:row>145</xdr:row>
      <xdr:rowOff>127886</xdr:rowOff>
    </xdr:to>
    <xdr:sp macro="" textlink="Data_Analysis!$B$66">
      <xdr:nvSpPr>
        <xdr:cNvPr id="7288" name="Rectangle: Rounded Corners 7287">
          <a:extLst>
            <a:ext uri="{FF2B5EF4-FFF2-40B4-BE49-F238E27FC236}">
              <a16:creationId xmlns:a16="http://schemas.microsoft.com/office/drawing/2014/main" id="{0510075B-20B6-1E69-D608-44EC07B0397C}"/>
            </a:ext>
          </a:extLst>
        </xdr:cNvPr>
        <xdr:cNvSpPr/>
      </xdr:nvSpPr>
      <xdr:spPr>
        <a:xfrm>
          <a:off x="3579495" y="27012900"/>
          <a:ext cx="1391116" cy="375536"/>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8A6EA41-10F0-4B6F-9B77-38344A074567}" type="TxLink">
            <a:rPr lang="en-US" sz="1100" b="1" i="0" u="none" strike="noStrike">
              <a:solidFill>
                <a:srgbClr val="FFFFFF"/>
              </a:solidFill>
              <a:latin typeface="Calibri"/>
              <a:ea typeface="Calibri"/>
              <a:cs typeface="Calibri"/>
            </a:rPr>
            <a:pPr algn="ctr"/>
            <a:t> 1,686,262.90 </a:t>
          </a:fld>
          <a:endParaRPr lang="en-US" b="1">
            <a:solidFill>
              <a:schemeClr val="bg1"/>
            </a:solidFill>
          </a:endParaRPr>
        </a:p>
      </xdr:txBody>
    </xdr:sp>
    <xdr:clientData/>
  </xdr:twoCellAnchor>
  <xdr:twoCellAnchor editAs="absolute">
    <xdr:from>
      <xdr:col>6</xdr:col>
      <xdr:colOff>350520</xdr:colOff>
      <xdr:row>192</xdr:row>
      <xdr:rowOff>161925</xdr:rowOff>
    </xdr:from>
    <xdr:to>
      <xdr:col>8</xdr:col>
      <xdr:colOff>131911</xdr:colOff>
      <xdr:row>194</xdr:row>
      <xdr:rowOff>156461</xdr:rowOff>
    </xdr:to>
    <xdr:sp macro="" textlink="Data_Analysis!$Y$72">
      <xdr:nvSpPr>
        <xdr:cNvPr id="7290" name="Rectangle: Rounded Corners 7289">
          <a:extLst>
            <a:ext uri="{FF2B5EF4-FFF2-40B4-BE49-F238E27FC236}">
              <a16:creationId xmlns:a16="http://schemas.microsoft.com/office/drawing/2014/main" id="{74213FC1-4D72-01C2-BD1D-CD062AB3C80C}"/>
            </a:ext>
          </a:extLst>
        </xdr:cNvPr>
        <xdr:cNvSpPr/>
      </xdr:nvSpPr>
      <xdr:spPr>
        <a:xfrm>
          <a:off x="3465195" y="36375975"/>
          <a:ext cx="1391116" cy="375536"/>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5D292C3-2522-407F-9E7A-2EA1752623C7}" type="TxLink">
            <a:rPr lang="en-US" sz="1100" b="1" i="0" u="none" strike="noStrike">
              <a:solidFill>
                <a:schemeClr val="bg1"/>
              </a:solidFill>
              <a:latin typeface="Calibri"/>
              <a:ea typeface="Calibri"/>
              <a:cs typeface="Calibri"/>
            </a:rPr>
            <a:pPr algn="ctr"/>
            <a:t> -   </a:t>
          </a:fld>
          <a:endParaRPr lang="en-US" b="1">
            <a:solidFill>
              <a:schemeClr val="bg1"/>
            </a:solidFill>
          </a:endParaRPr>
        </a:p>
      </xdr:txBody>
    </xdr:sp>
    <xdr:clientData/>
  </xdr:twoCellAnchor>
  <xdr:twoCellAnchor editAs="absolute">
    <xdr:from>
      <xdr:col>17</xdr:col>
      <xdr:colOff>29366</xdr:colOff>
      <xdr:row>32</xdr:row>
      <xdr:rowOff>130788</xdr:rowOff>
    </xdr:from>
    <xdr:to>
      <xdr:col>17</xdr:col>
      <xdr:colOff>751742</xdr:colOff>
      <xdr:row>36</xdr:row>
      <xdr:rowOff>91164</xdr:rowOff>
    </xdr:to>
    <xdr:grpSp>
      <xdr:nvGrpSpPr>
        <xdr:cNvPr id="25" name="Group 24">
          <a:extLst>
            <a:ext uri="{FF2B5EF4-FFF2-40B4-BE49-F238E27FC236}">
              <a16:creationId xmlns:a16="http://schemas.microsoft.com/office/drawing/2014/main" id="{94BED6E9-A418-D329-8627-5D31B4E1F976}"/>
            </a:ext>
          </a:extLst>
        </xdr:cNvPr>
        <xdr:cNvGrpSpPr/>
      </xdr:nvGrpSpPr>
      <xdr:grpSpPr>
        <a:xfrm>
          <a:off x="12456316" y="5845788"/>
          <a:ext cx="728726" cy="681101"/>
          <a:chOff x="11973716" y="5483838"/>
          <a:chExt cx="722376" cy="722376"/>
        </a:xfrm>
      </xdr:grpSpPr>
      <xdr:graphicFrame macro="">
        <xdr:nvGraphicFramePr>
          <xdr:cNvPr id="26" name="Chart 25">
            <a:extLst>
              <a:ext uri="{FF2B5EF4-FFF2-40B4-BE49-F238E27FC236}">
                <a16:creationId xmlns:a16="http://schemas.microsoft.com/office/drawing/2014/main" id="{FEF047C9-9A1F-D46F-2495-3E0B5CDA2BC4}"/>
              </a:ext>
            </a:extLst>
          </xdr:cNvPr>
          <xdr:cNvGraphicFramePr>
            <a:graphicFrameLocks/>
          </xdr:cNvGraphicFramePr>
        </xdr:nvGraphicFramePr>
        <xdr:xfrm>
          <a:off x="11973716" y="5483838"/>
          <a:ext cx="722376" cy="722376"/>
        </xdr:xfrm>
        <a:graphic>
          <a:graphicData uri="http://schemas.openxmlformats.org/drawingml/2006/chart">
            <c:chart xmlns:c="http://schemas.openxmlformats.org/drawingml/2006/chart" xmlns:r="http://schemas.openxmlformats.org/officeDocument/2006/relationships" r:id="rId19"/>
          </a:graphicData>
        </a:graphic>
      </xdr:graphicFrame>
      <xdr:sp macro="" textlink="Data_Analysis!AD36">
        <xdr:nvSpPr>
          <xdr:cNvPr id="27" name="TextBox 26">
            <a:extLst>
              <a:ext uri="{FF2B5EF4-FFF2-40B4-BE49-F238E27FC236}">
                <a16:creationId xmlns:a16="http://schemas.microsoft.com/office/drawing/2014/main" id="{4401E1BF-BDB7-1753-1798-124B806F2DF7}"/>
              </a:ext>
            </a:extLst>
          </xdr:cNvPr>
          <xdr:cNvSpPr txBox="1"/>
        </xdr:nvSpPr>
        <xdr:spPr>
          <a:xfrm>
            <a:off x="12096751" y="5753100"/>
            <a:ext cx="552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6B73F2-DF85-474E-8B6D-3D3AE951484B}" type="TxLink">
              <a:rPr lang="en-US" sz="900" b="0" i="0" u="none" strike="noStrike">
                <a:solidFill>
                  <a:schemeClr val="bg1"/>
                </a:solidFill>
                <a:latin typeface="Calibri"/>
                <a:ea typeface="Calibri"/>
                <a:cs typeface="Calibri"/>
              </a:rPr>
              <a:pPr/>
              <a:t>#REF!</a:t>
            </a:fld>
            <a:endParaRPr lang="en-US" sz="900">
              <a:solidFill>
                <a:schemeClr val="bg1"/>
              </a:solidFill>
            </a:endParaRPr>
          </a:p>
        </xdr:txBody>
      </xdr:sp>
    </xdr:grpSp>
    <xdr:clientData/>
  </xdr:twoCellAnchor>
  <xdr:twoCellAnchor>
    <xdr:from>
      <xdr:col>6</xdr:col>
      <xdr:colOff>685800</xdr:colOff>
      <xdr:row>22</xdr:row>
      <xdr:rowOff>45720</xdr:rowOff>
    </xdr:from>
    <xdr:to>
      <xdr:col>11</xdr:col>
      <xdr:colOff>47625</xdr:colOff>
      <xdr:row>26</xdr:row>
      <xdr:rowOff>161925</xdr:rowOff>
    </xdr:to>
    <xdr:grpSp>
      <xdr:nvGrpSpPr>
        <xdr:cNvPr id="7386" name="Group 7385">
          <a:extLst>
            <a:ext uri="{FF2B5EF4-FFF2-40B4-BE49-F238E27FC236}">
              <a16:creationId xmlns:a16="http://schemas.microsoft.com/office/drawing/2014/main" id="{AD4EFE0E-580A-5752-78C7-60CEB2A03B6A}"/>
            </a:ext>
          </a:extLst>
        </xdr:cNvPr>
        <xdr:cNvGrpSpPr/>
      </xdr:nvGrpSpPr>
      <xdr:grpSpPr>
        <a:xfrm>
          <a:off x="3952875" y="3954145"/>
          <a:ext cx="2901950" cy="833755"/>
          <a:chOff x="3790950" y="4055745"/>
          <a:chExt cx="2733675" cy="878205"/>
        </a:xfrm>
      </xdr:grpSpPr>
      <xdr:sp macro="" textlink="">
        <xdr:nvSpPr>
          <xdr:cNvPr id="15" name="Rectangle: Rounded Corners 14">
            <a:extLst>
              <a:ext uri="{FF2B5EF4-FFF2-40B4-BE49-F238E27FC236}">
                <a16:creationId xmlns:a16="http://schemas.microsoft.com/office/drawing/2014/main" id="{896C50F3-8B99-1603-D4ED-1A28DB2EA312}"/>
              </a:ext>
            </a:extLst>
          </xdr:cNvPr>
          <xdr:cNvSpPr/>
        </xdr:nvSpPr>
        <xdr:spPr>
          <a:xfrm>
            <a:off x="3790950" y="4133850"/>
            <a:ext cx="2603630" cy="676276"/>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F2619CF3-BC5D-2384-2BC3-7497799E054E}"/>
              </a:ext>
            </a:extLst>
          </xdr:cNvPr>
          <xdr:cNvSpPr txBox="1"/>
        </xdr:nvSpPr>
        <xdr:spPr>
          <a:xfrm>
            <a:off x="3792855" y="4335780"/>
            <a:ext cx="72199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ABUJA</a:t>
            </a:r>
            <a:r>
              <a:rPr lang="en-US" sz="900" baseline="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r>
              <a:rPr lang="en-US" sz="9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a:t>
            </a:r>
          </a:p>
        </xdr:txBody>
      </xdr:sp>
      <xdr:sp macro="" textlink="Data_Analysis!O15">
        <xdr:nvSpPr>
          <xdr:cNvPr id="19" name="TextBox 18">
            <a:extLst>
              <a:ext uri="{FF2B5EF4-FFF2-40B4-BE49-F238E27FC236}">
                <a16:creationId xmlns:a16="http://schemas.microsoft.com/office/drawing/2014/main" id="{68F91A10-4037-867F-2485-10E317A45E6B}"/>
              </a:ext>
            </a:extLst>
          </xdr:cNvPr>
          <xdr:cNvSpPr txBox="1"/>
        </xdr:nvSpPr>
        <xdr:spPr>
          <a:xfrm>
            <a:off x="4324350" y="4311015"/>
            <a:ext cx="1276349"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44D16EE-6D79-4E83-BF68-18FD905B2A84}"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grpSp>
        <xdr:nvGrpSpPr>
          <xdr:cNvPr id="7239" name="Group 7238">
            <a:extLst>
              <a:ext uri="{FF2B5EF4-FFF2-40B4-BE49-F238E27FC236}">
                <a16:creationId xmlns:a16="http://schemas.microsoft.com/office/drawing/2014/main" id="{6DB80558-C878-4E0E-6D37-FCF4451E6804}"/>
              </a:ext>
            </a:extLst>
          </xdr:cNvPr>
          <xdr:cNvGrpSpPr/>
        </xdr:nvGrpSpPr>
        <xdr:grpSpPr>
          <a:xfrm>
            <a:off x="5522596" y="4055745"/>
            <a:ext cx="1002029" cy="878205"/>
            <a:chOff x="5684521" y="3741420"/>
            <a:chExt cx="704088" cy="667512"/>
          </a:xfrm>
        </xdr:grpSpPr>
        <xdr:graphicFrame macro="">
          <xdr:nvGraphicFramePr>
            <xdr:cNvPr id="7237" name="Chart 7236">
              <a:extLst>
                <a:ext uri="{FF2B5EF4-FFF2-40B4-BE49-F238E27FC236}">
                  <a16:creationId xmlns:a16="http://schemas.microsoft.com/office/drawing/2014/main" id="{022861BD-F706-460D-AFEA-44BC9307A1C0}"/>
                </a:ext>
              </a:extLst>
            </xdr:cNvPr>
            <xdr:cNvGraphicFramePr>
              <a:graphicFrameLocks/>
            </xdr:cNvGraphicFramePr>
          </xdr:nvGraphicFramePr>
          <xdr:xfrm>
            <a:off x="5684521" y="3741420"/>
            <a:ext cx="704088" cy="667512"/>
          </xdr:xfrm>
          <a:graphic>
            <a:graphicData uri="http://schemas.openxmlformats.org/drawingml/2006/chart">
              <c:chart xmlns:c="http://schemas.openxmlformats.org/drawingml/2006/chart" xmlns:r="http://schemas.openxmlformats.org/officeDocument/2006/relationships" r:id="rId20"/>
            </a:graphicData>
          </a:graphic>
        </xdr:graphicFrame>
        <xdr:sp macro="" textlink="Data_Analysis!$P$15">
          <xdr:nvSpPr>
            <xdr:cNvPr id="7238" name="TextBox 7237">
              <a:extLst>
                <a:ext uri="{FF2B5EF4-FFF2-40B4-BE49-F238E27FC236}">
                  <a16:creationId xmlns:a16="http://schemas.microsoft.com/office/drawing/2014/main" id="{EB08ACFF-0F3D-C95B-DA5C-DA3CA0C1E9A3}"/>
                </a:ext>
              </a:extLst>
            </xdr:cNvPr>
            <xdr:cNvSpPr txBox="1"/>
          </xdr:nvSpPr>
          <xdr:spPr>
            <a:xfrm>
              <a:off x="5857875" y="3952875"/>
              <a:ext cx="42862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0FF1DB-3E5C-4208-A28D-D4B6CDA93F2D}" type="TxLink">
                <a:rPr lang="en-US" sz="1000" b="0" i="0" u="none" strike="noStrike">
                  <a:solidFill>
                    <a:schemeClr val="bg1"/>
                  </a:solidFill>
                  <a:latin typeface="Calibri"/>
                  <a:ea typeface="Calibri"/>
                  <a:cs typeface="Calibri"/>
                </a:rPr>
                <a:pPr/>
                <a:t>#REF!</a:t>
              </a:fld>
              <a:endParaRPr lang="en-US" sz="800">
                <a:solidFill>
                  <a:schemeClr val="bg1"/>
                </a:solidFill>
              </a:endParaRPr>
            </a:p>
          </xdr:txBody>
        </xdr:sp>
      </xdr:grpSp>
    </xdr:grpSp>
    <xdr:clientData/>
  </xdr:twoCellAnchor>
  <xdr:twoCellAnchor>
    <xdr:from>
      <xdr:col>0</xdr:col>
      <xdr:colOff>89534</xdr:colOff>
      <xdr:row>48</xdr:row>
      <xdr:rowOff>169545</xdr:rowOff>
    </xdr:from>
    <xdr:to>
      <xdr:col>7</xdr:col>
      <xdr:colOff>851534</xdr:colOff>
      <xdr:row>61</xdr:row>
      <xdr:rowOff>95250</xdr:rowOff>
    </xdr:to>
    <xdr:graphicFrame macro="">
      <xdr:nvGraphicFramePr>
        <xdr:cNvPr id="7252" name="Chart 7251">
          <a:extLst>
            <a:ext uri="{FF2B5EF4-FFF2-40B4-BE49-F238E27FC236}">
              <a16:creationId xmlns:a16="http://schemas.microsoft.com/office/drawing/2014/main" id="{328486BB-74D4-45BD-808A-C1F0047F0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11</xdr:col>
      <xdr:colOff>85596</xdr:colOff>
      <xdr:row>39</xdr:row>
      <xdr:rowOff>69435</xdr:rowOff>
    </xdr:from>
    <xdr:to>
      <xdr:col>13</xdr:col>
      <xdr:colOff>1238250</xdr:colOff>
      <xdr:row>42</xdr:row>
      <xdr:rowOff>30284</xdr:rowOff>
    </xdr:to>
    <xdr:sp macro="" textlink="">
      <xdr:nvSpPr>
        <xdr:cNvPr id="7274" name="Rectangle: Rounded Corners 7273">
          <a:extLst>
            <a:ext uri="{FF2B5EF4-FFF2-40B4-BE49-F238E27FC236}">
              <a16:creationId xmlns:a16="http://schemas.microsoft.com/office/drawing/2014/main" id="{F9E11EBD-56F5-5FB3-4AFA-8A694492D1C5}"/>
            </a:ext>
          </a:extLst>
        </xdr:cNvPr>
        <xdr:cNvSpPr/>
      </xdr:nvSpPr>
      <xdr:spPr>
        <a:xfrm>
          <a:off x="6572121" y="7384635"/>
          <a:ext cx="2590929" cy="532349"/>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60894</xdr:colOff>
      <xdr:row>39</xdr:row>
      <xdr:rowOff>111538</xdr:rowOff>
    </xdr:from>
    <xdr:to>
      <xdr:col>12</xdr:col>
      <xdr:colOff>457200</xdr:colOff>
      <xdr:row>41</xdr:row>
      <xdr:rowOff>171449</xdr:rowOff>
    </xdr:to>
    <xdr:sp macro="" textlink="">
      <xdr:nvSpPr>
        <xdr:cNvPr id="7277" name="TextBox 7276">
          <a:extLst>
            <a:ext uri="{FF2B5EF4-FFF2-40B4-BE49-F238E27FC236}">
              <a16:creationId xmlns:a16="http://schemas.microsoft.com/office/drawing/2014/main" id="{68672D61-FC05-069E-C312-07088B99D7F2}"/>
            </a:ext>
          </a:extLst>
        </xdr:cNvPr>
        <xdr:cNvSpPr txBox="1"/>
      </xdr:nvSpPr>
      <xdr:spPr>
        <a:xfrm>
          <a:off x="6547419" y="7426738"/>
          <a:ext cx="986856" cy="440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CHAIRMAN, UYO -</a:t>
          </a:r>
        </a:p>
      </xdr:txBody>
    </xdr:sp>
    <xdr:clientData/>
  </xdr:twoCellAnchor>
  <xdr:twoCellAnchor>
    <xdr:from>
      <xdr:col>14</xdr:col>
      <xdr:colOff>153349</xdr:colOff>
      <xdr:row>16</xdr:row>
      <xdr:rowOff>155028</xdr:rowOff>
    </xdr:from>
    <xdr:to>
      <xdr:col>15</xdr:col>
      <xdr:colOff>267649</xdr:colOff>
      <xdr:row>20</xdr:row>
      <xdr:rowOff>45490</xdr:rowOff>
    </xdr:to>
    <xdr:graphicFrame macro="">
      <xdr:nvGraphicFramePr>
        <xdr:cNvPr id="7229" name="Chart 7228">
          <a:extLst>
            <a:ext uri="{FF2B5EF4-FFF2-40B4-BE49-F238E27FC236}">
              <a16:creationId xmlns:a16="http://schemas.microsoft.com/office/drawing/2014/main" id="{0AD46E01-8624-4FE6-A880-5ECBA3551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13</xdr:col>
      <xdr:colOff>581023</xdr:colOff>
      <xdr:row>12</xdr:row>
      <xdr:rowOff>180973</xdr:rowOff>
    </xdr:from>
    <xdr:to>
      <xdr:col>13</xdr:col>
      <xdr:colOff>1312543</xdr:colOff>
      <xdr:row>17</xdr:row>
      <xdr:rowOff>142873</xdr:rowOff>
    </xdr:to>
    <xdr:graphicFrame macro="">
      <xdr:nvGraphicFramePr>
        <xdr:cNvPr id="7291" name="Chart 7290">
          <a:extLst>
            <a:ext uri="{FF2B5EF4-FFF2-40B4-BE49-F238E27FC236}">
              <a16:creationId xmlns:a16="http://schemas.microsoft.com/office/drawing/2014/main" id="{B52FEAB9-89CF-2351-B65B-CF81DD244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13</xdr:col>
      <xdr:colOff>695325</xdr:colOff>
      <xdr:row>14</xdr:row>
      <xdr:rowOff>133350</xdr:rowOff>
    </xdr:from>
    <xdr:to>
      <xdr:col>13</xdr:col>
      <xdr:colOff>1228725</xdr:colOff>
      <xdr:row>16</xdr:row>
      <xdr:rowOff>47624</xdr:rowOff>
    </xdr:to>
    <xdr:sp macro="" textlink="Data_Analysis!$G$9">
      <xdr:nvSpPr>
        <xdr:cNvPr id="7292" name="TextBox 7291">
          <a:extLst>
            <a:ext uri="{FF2B5EF4-FFF2-40B4-BE49-F238E27FC236}">
              <a16:creationId xmlns:a16="http://schemas.microsoft.com/office/drawing/2014/main" id="{9AE71650-B216-A73E-3174-68FFD1C7D274}"/>
            </a:ext>
          </a:extLst>
        </xdr:cNvPr>
        <xdr:cNvSpPr txBox="1"/>
      </xdr:nvSpPr>
      <xdr:spPr>
        <a:xfrm>
          <a:off x="8620125" y="2686050"/>
          <a:ext cx="533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C8BFB5-0F5A-4B42-AA38-C65E9EB12146}" type="TxLink">
            <a:rPr lang="en-US" sz="900" b="0" i="0" u="none" strike="noStrike">
              <a:solidFill>
                <a:schemeClr val="bg1"/>
              </a:solidFill>
              <a:latin typeface="Calibri"/>
              <a:ea typeface="Calibri"/>
              <a:cs typeface="Calibri"/>
            </a:rPr>
            <a:pPr/>
            <a:t>7.98%</a:t>
          </a:fld>
          <a:endParaRPr lang="en-US" sz="100">
            <a:solidFill>
              <a:schemeClr val="bg1"/>
            </a:solidFill>
          </a:endParaRPr>
        </a:p>
      </xdr:txBody>
    </xdr:sp>
    <xdr:clientData/>
  </xdr:twoCellAnchor>
  <xdr:twoCellAnchor>
    <xdr:from>
      <xdr:col>0</xdr:col>
      <xdr:colOff>209550</xdr:colOff>
      <xdr:row>123</xdr:row>
      <xdr:rowOff>142875</xdr:rowOff>
    </xdr:from>
    <xdr:to>
      <xdr:col>9</xdr:col>
      <xdr:colOff>438150</xdr:colOff>
      <xdr:row>139</xdr:row>
      <xdr:rowOff>9525</xdr:rowOff>
    </xdr:to>
    <xdr:graphicFrame macro="">
      <xdr:nvGraphicFramePr>
        <xdr:cNvPr id="7294" name="Chart 7293">
          <a:extLst>
            <a:ext uri="{FF2B5EF4-FFF2-40B4-BE49-F238E27FC236}">
              <a16:creationId xmlns:a16="http://schemas.microsoft.com/office/drawing/2014/main" id="{D2994F47-E431-4DD8-8E39-F816955FC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257174</xdr:colOff>
      <xdr:row>70</xdr:row>
      <xdr:rowOff>38100</xdr:rowOff>
    </xdr:from>
    <xdr:to>
      <xdr:col>10</xdr:col>
      <xdr:colOff>466725</xdr:colOff>
      <xdr:row>85</xdr:row>
      <xdr:rowOff>47625</xdr:rowOff>
    </xdr:to>
    <xdr:graphicFrame macro="">
      <xdr:nvGraphicFramePr>
        <xdr:cNvPr id="7295" name="Chart 7294">
          <a:extLst>
            <a:ext uri="{FF2B5EF4-FFF2-40B4-BE49-F238E27FC236}">
              <a16:creationId xmlns:a16="http://schemas.microsoft.com/office/drawing/2014/main" id="{0827480D-17B7-495C-BDE9-85CFFA8C5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0</xdr:col>
      <xdr:colOff>304799</xdr:colOff>
      <xdr:row>173</xdr:row>
      <xdr:rowOff>95250</xdr:rowOff>
    </xdr:from>
    <xdr:to>
      <xdr:col>10</xdr:col>
      <xdr:colOff>142874</xdr:colOff>
      <xdr:row>188</xdr:row>
      <xdr:rowOff>76200</xdr:rowOff>
    </xdr:to>
    <xdr:graphicFrame macro="">
      <xdr:nvGraphicFramePr>
        <xdr:cNvPr id="7360" name="Chart 7359">
          <a:extLst>
            <a:ext uri="{FF2B5EF4-FFF2-40B4-BE49-F238E27FC236}">
              <a16:creationId xmlns:a16="http://schemas.microsoft.com/office/drawing/2014/main" id="{ADF8B80C-981D-4DE2-A0A4-8C9110FA6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absolute">
    <xdr:from>
      <xdr:col>13</xdr:col>
      <xdr:colOff>561975</xdr:colOff>
      <xdr:row>38</xdr:row>
      <xdr:rowOff>66675</xdr:rowOff>
    </xdr:from>
    <xdr:to>
      <xdr:col>13</xdr:col>
      <xdr:colOff>1293495</xdr:colOff>
      <xdr:row>44</xdr:row>
      <xdr:rowOff>28575</xdr:rowOff>
    </xdr:to>
    <xdr:graphicFrame macro="">
      <xdr:nvGraphicFramePr>
        <xdr:cNvPr id="7226" name="Chart 7225">
          <a:extLst>
            <a:ext uri="{FF2B5EF4-FFF2-40B4-BE49-F238E27FC236}">
              <a16:creationId xmlns:a16="http://schemas.microsoft.com/office/drawing/2014/main" id="{54FA2D7A-9C14-46D6-BE5B-AB272FC94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absolute">
    <xdr:from>
      <xdr:col>13</xdr:col>
      <xdr:colOff>695326</xdr:colOff>
      <xdr:row>40</xdr:row>
      <xdr:rowOff>11430</xdr:rowOff>
    </xdr:from>
    <xdr:to>
      <xdr:col>13</xdr:col>
      <xdr:colOff>1238250</xdr:colOff>
      <xdr:row>41</xdr:row>
      <xdr:rowOff>66675</xdr:rowOff>
    </xdr:to>
    <xdr:sp macro="" textlink="Data_Analysis!G30">
      <xdr:nvSpPr>
        <xdr:cNvPr id="7283" name="TextBox 7282">
          <a:extLst>
            <a:ext uri="{FF2B5EF4-FFF2-40B4-BE49-F238E27FC236}">
              <a16:creationId xmlns:a16="http://schemas.microsoft.com/office/drawing/2014/main" id="{F1096396-2F61-1FCE-6DE1-DCEFCC0BBAE6}"/>
            </a:ext>
          </a:extLst>
        </xdr:cNvPr>
        <xdr:cNvSpPr txBox="1"/>
      </xdr:nvSpPr>
      <xdr:spPr>
        <a:xfrm>
          <a:off x="8620126" y="7517130"/>
          <a:ext cx="542924" cy="245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838924-8DFB-406E-A592-E9A3894C009E}" type="TxLink">
            <a:rPr lang="en-US" sz="900" b="0" i="0" u="none" strike="noStrike">
              <a:solidFill>
                <a:schemeClr val="bg1"/>
              </a:solidFill>
              <a:latin typeface="Calibri"/>
              <a:ea typeface="Calibri"/>
              <a:cs typeface="Calibri"/>
            </a:rPr>
            <a:pPr/>
            <a:t>#REF!</a:t>
          </a:fld>
          <a:endParaRPr lang="en-US" sz="900">
            <a:solidFill>
              <a:schemeClr val="bg1"/>
            </a:solidFill>
          </a:endParaRPr>
        </a:p>
      </xdr:txBody>
    </xdr:sp>
    <xdr:clientData/>
  </xdr:twoCellAnchor>
  <xdr:twoCellAnchor editAs="absolute">
    <xdr:from>
      <xdr:col>13</xdr:col>
      <xdr:colOff>590550</xdr:colOff>
      <xdr:row>25</xdr:row>
      <xdr:rowOff>152398</xdr:rowOff>
    </xdr:from>
    <xdr:to>
      <xdr:col>13</xdr:col>
      <xdr:colOff>1322070</xdr:colOff>
      <xdr:row>30</xdr:row>
      <xdr:rowOff>114298</xdr:rowOff>
    </xdr:to>
    <xdr:graphicFrame macro="">
      <xdr:nvGraphicFramePr>
        <xdr:cNvPr id="7293" name="Chart 7292">
          <a:extLst>
            <a:ext uri="{FF2B5EF4-FFF2-40B4-BE49-F238E27FC236}">
              <a16:creationId xmlns:a16="http://schemas.microsoft.com/office/drawing/2014/main" id="{5E91BF00-0384-4D05-A013-9E4334326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absolute">
    <xdr:from>
      <xdr:col>13</xdr:col>
      <xdr:colOff>723900</xdr:colOff>
      <xdr:row>27</xdr:row>
      <xdr:rowOff>95250</xdr:rowOff>
    </xdr:from>
    <xdr:to>
      <xdr:col>13</xdr:col>
      <xdr:colOff>1200150</xdr:colOff>
      <xdr:row>29</xdr:row>
      <xdr:rowOff>0</xdr:rowOff>
    </xdr:to>
    <xdr:sp macro="" textlink="Data_Analysis!G33">
      <xdr:nvSpPr>
        <xdr:cNvPr id="7361" name="TextBox 7360">
          <a:extLst>
            <a:ext uri="{FF2B5EF4-FFF2-40B4-BE49-F238E27FC236}">
              <a16:creationId xmlns:a16="http://schemas.microsoft.com/office/drawing/2014/main" id="{7D1C70B5-914C-49B0-2F46-79EEC7A79D9A}"/>
            </a:ext>
          </a:extLst>
        </xdr:cNvPr>
        <xdr:cNvSpPr txBox="1"/>
      </xdr:nvSpPr>
      <xdr:spPr>
        <a:xfrm>
          <a:off x="8648700" y="5124450"/>
          <a:ext cx="476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E5605-5CF6-410A-B7D7-598FF8D03A9C}" type="TxLink">
            <a:rPr lang="en-US" sz="900" b="0" i="0" u="none" strike="noStrike">
              <a:solidFill>
                <a:schemeClr val="bg1"/>
              </a:solidFill>
              <a:latin typeface="Calibri"/>
              <a:ea typeface="Calibri"/>
              <a:cs typeface="Calibri"/>
            </a:rPr>
            <a:pPr/>
            <a:t>#REF!</a:t>
          </a:fld>
          <a:endParaRPr lang="en-US" sz="900">
            <a:solidFill>
              <a:schemeClr val="bg1"/>
            </a:solidFill>
          </a:endParaRPr>
        </a:p>
      </xdr:txBody>
    </xdr:sp>
    <xdr:clientData/>
  </xdr:twoCellAnchor>
  <xdr:twoCellAnchor editAs="absolute">
    <xdr:from>
      <xdr:col>12</xdr:col>
      <xdr:colOff>280988</xdr:colOff>
      <xdr:row>40</xdr:row>
      <xdr:rowOff>25225</xdr:rowOff>
    </xdr:from>
    <xdr:to>
      <xdr:col>13</xdr:col>
      <xdr:colOff>678697</xdr:colOff>
      <xdr:row>41</xdr:row>
      <xdr:rowOff>147999</xdr:rowOff>
    </xdr:to>
    <xdr:sp macro="" textlink="Data_Analysis!F30">
      <xdr:nvSpPr>
        <xdr:cNvPr id="7362" name="TextBox 7361">
          <a:extLst>
            <a:ext uri="{FF2B5EF4-FFF2-40B4-BE49-F238E27FC236}">
              <a16:creationId xmlns:a16="http://schemas.microsoft.com/office/drawing/2014/main" id="{4F20BBEE-88F6-5E4B-F59D-98C53B538E62}"/>
            </a:ext>
          </a:extLst>
        </xdr:cNvPr>
        <xdr:cNvSpPr txBox="1"/>
      </xdr:nvSpPr>
      <xdr:spPr>
        <a:xfrm>
          <a:off x="7358063" y="7530925"/>
          <a:ext cx="1245434" cy="313274"/>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3EB06A8-7849-45BA-94A1-9E7486EF1906}"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editAs="absolute">
    <xdr:from>
      <xdr:col>1</xdr:col>
      <xdr:colOff>190500</xdr:colOff>
      <xdr:row>28</xdr:row>
      <xdr:rowOff>9525</xdr:rowOff>
    </xdr:from>
    <xdr:to>
      <xdr:col>8</xdr:col>
      <xdr:colOff>419100</xdr:colOff>
      <xdr:row>43</xdr:row>
      <xdr:rowOff>9525</xdr:rowOff>
    </xdr:to>
    <xdr:graphicFrame macro="">
      <xdr:nvGraphicFramePr>
        <xdr:cNvPr id="7363" name="Chart 7362">
          <a:extLst>
            <a:ext uri="{FF2B5EF4-FFF2-40B4-BE49-F238E27FC236}">
              <a16:creationId xmlns:a16="http://schemas.microsoft.com/office/drawing/2014/main" id="{4BB65BCE-0F94-41E4-B838-C7FA15EF0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862835</xdr:colOff>
      <xdr:row>26</xdr:row>
      <xdr:rowOff>114301</xdr:rowOff>
    </xdr:from>
    <xdr:to>
      <xdr:col>17</xdr:col>
      <xdr:colOff>881884</xdr:colOff>
      <xdr:row>30</xdr:row>
      <xdr:rowOff>42864</xdr:rowOff>
    </xdr:to>
    <xdr:grpSp>
      <xdr:nvGrpSpPr>
        <xdr:cNvPr id="7366" name="Group 7365">
          <a:extLst>
            <a:ext uri="{FF2B5EF4-FFF2-40B4-BE49-F238E27FC236}">
              <a16:creationId xmlns:a16="http://schemas.microsoft.com/office/drawing/2014/main" id="{168EA2AA-74AF-C339-DA76-C4188A0E6576}"/>
            </a:ext>
          </a:extLst>
        </xdr:cNvPr>
        <xdr:cNvGrpSpPr/>
      </xdr:nvGrpSpPr>
      <xdr:grpSpPr>
        <a:xfrm>
          <a:off x="12334110" y="4743451"/>
          <a:ext cx="981074" cy="655638"/>
          <a:chOff x="11883260" y="4838701"/>
          <a:chExt cx="933449" cy="690563"/>
        </a:xfrm>
      </xdr:grpSpPr>
      <xdr:graphicFrame macro="">
        <xdr:nvGraphicFramePr>
          <xdr:cNvPr id="7364" name="Chart 7363">
            <a:extLst>
              <a:ext uri="{FF2B5EF4-FFF2-40B4-BE49-F238E27FC236}">
                <a16:creationId xmlns:a16="http://schemas.microsoft.com/office/drawing/2014/main" id="{153B53E2-CDB0-4E98-B3D9-9CC179220338}"/>
              </a:ext>
            </a:extLst>
          </xdr:cNvPr>
          <xdr:cNvGraphicFramePr>
            <a:graphicFrameLocks/>
          </xdr:cNvGraphicFramePr>
        </xdr:nvGraphicFramePr>
        <xdr:xfrm>
          <a:off x="11883260" y="4838701"/>
          <a:ext cx="933449" cy="690563"/>
        </xdr:xfrm>
        <a:graphic>
          <a:graphicData uri="http://schemas.openxmlformats.org/drawingml/2006/chart">
            <c:chart xmlns:c="http://schemas.openxmlformats.org/drawingml/2006/chart" xmlns:r="http://schemas.openxmlformats.org/officeDocument/2006/relationships" r:id="rId30"/>
          </a:graphicData>
        </a:graphic>
      </xdr:graphicFrame>
      <xdr:sp macro="" textlink="Data_Analysis!AD39">
        <xdr:nvSpPr>
          <xdr:cNvPr id="7365" name="TextBox 7364">
            <a:extLst>
              <a:ext uri="{FF2B5EF4-FFF2-40B4-BE49-F238E27FC236}">
                <a16:creationId xmlns:a16="http://schemas.microsoft.com/office/drawing/2014/main" id="{842813A4-780B-335D-08C0-52E5ADFD4595}"/>
              </a:ext>
            </a:extLst>
          </xdr:cNvPr>
          <xdr:cNvSpPr txBox="1"/>
        </xdr:nvSpPr>
        <xdr:spPr>
          <a:xfrm>
            <a:off x="12115801" y="5067300"/>
            <a:ext cx="495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CA05EC-3AFB-41A3-9265-54ED7C09F6F9}" type="TxLink">
              <a:rPr lang="en-US" sz="900" b="0" i="0" u="none" strike="noStrike">
                <a:solidFill>
                  <a:schemeClr val="bg1"/>
                </a:solidFill>
                <a:latin typeface="Calibri"/>
                <a:ea typeface="Calibri"/>
                <a:cs typeface="Calibri"/>
              </a:rPr>
              <a:pPr/>
              <a:t>#REF!</a:t>
            </a:fld>
            <a:endParaRPr lang="en-US" sz="900">
              <a:solidFill>
                <a:schemeClr val="bg1"/>
              </a:solidFill>
            </a:endParaRPr>
          </a:p>
        </xdr:txBody>
      </xdr:sp>
    </xdr:grpSp>
    <xdr:clientData/>
  </xdr:twoCellAnchor>
  <xdr:twoCellAnchor editAs="absolute">
    <xdr:from>
      <xdr:col>2</xdr:col>
      <xdr:colOff>228600</xdr:colOff>
      <xdr:row>9</xdr:row>
      <xdr:rowOff>9525</xdr:rowOff>
    </xdr:from>
    <xdr:to>
      <xdr:col>6</xdr:col>
      <xdr:colOff>314325</xdr:colOff>
      <xdr:row>10</xdr:row>
      <xdr:rowOff>0</xdr:rowOff>
    </xdr:to>
    <xdr:sp macro="" textlink="">
      <xdr:nvSpPr>
        <xdr:cNvPr id="7367" name="TextBox 7366">
          <a:extLst>
            <a:ext uri="{FF2B5EF4-FFF2-40B4-BE49-F238E27FC236}">
              <a16:creationId xmlns:a16="http://schemas.microsoft.com/office/drawing/2014/main" id="{7946DB3C-0487-7D41-2331-FD2BFA9BC4CA}"/>
            </a:ext>
          </a:extLst>
        </xdr:cNvPr>
        <xdr:cNvSpPr txBox="1"/>
      </xdr:nvSpPr>
      <xdr:spPr>
        <a:xfrm>
          <a:off x="981075" y="1657350"/>
          <a:ext cx="2447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bg1"/>
              </a:solidFill>
            </a:rPr>
            <a:t>WORK COMPLETION TRACKER</a:t>
          </a:r>
        </a:p>
      </xdr:txBody>
    </xdr:sp>
    <xdr:clientData/>
  </xdr:twoCellAnchor>
  <xdr:twoCellAnchor editAs="absolute">
    <xdr:from>
      <xdr:col>6</xdr:col>
      <xdr:colOff>628650</xdr:colOff>
      <xdr:row>9</xdr:row>
      <xdr:rowOff>38100</xdr:rowOff>
    </xdr:from>
    <xdr:to>
      <xdr:col>11</xdr:col>
      <xdr:colOff>85725</xdr:colOff>
      <xdr:row>10</xdr:row>
      <xdr:rowOff>28575</xdr:rowOff>
    </xdr:to>
    <xdr:sp macro="" textlink="">
      <xdr:nvSpPr>
        <xdr:cNvPr id="7368" name="TextBox 7367">
          <a:extLst>
            <a:ext uri="{FF2B5EF4-FFF2-40B4-BE49-F238E27FC236}">
              <a16:creationId xmlns:a16="http://schemas.microsoft.com/office/drawing/2014/main" id="{267C18C7-0BD5-C463-EFA0-C9C04FA15874}"/>
            </a:ext>
          </a:extLst>
        </xdr:cNvPr>
        <xdr:cNvSpPr txBox="1"/>
      </xdr:nvSpPr>
      <xdr:spPr>
        <a:xfrm>
          <a:off x="3743325" y="168592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bg1"/>
              </a:solidFill>
            </a:rPr>
            <a:t>VEHICLE REPAIR / MAINTENANCE COST PER LOCATION</a:t>
          </a:r>
        </a:p>
      </xdr:txBody>
    </xdr:sp>
    <xdr:clientData/>
  </xdr:twoCellAnchor>
  <xdr:twoCellAnchor editAs="absolute">
    <xdr:from>
      <xdr:col>10</xdr:col>
      <xdr:colOff>571500</xdr:colOff>
      <xdr:row>9</xdr:row>
      <xdr:rowOff>9525</xdr:rowOff>
    </xdr:from>
    <xdr:to>
      <xdr:col>14</xdr:col>
      <xdr:colOff>142875</xdr:colOff>
      <xdr:row>10</xdr:row>
      <xdr:rowOff>0</xdr:rowOff>
    </xdr:to>
    <xdr:sp macro="" textlink="">
      <xdr:nvSpPr>
        <xdr:cNvPr id="7369" name="TextBox 7368">
          <a:extLst>
            <a:ext uri="{FF2B5EF4-FFF2-40B4-BE49-F238E27FC236}">
              <a16:creationId xmlns:a16="http://schemas.microsoft.com/office/drawing/2014/main" id="{28EB00BE-76DD-716B-741A-5A1776A4F8B5}"/>
            </a:ext>
          </a:extLst>
        </xdr:cNvPr>
        <xdr:cNvSpPr txBox="1"/>
      </xdr:nvSpPr>
      <xdr:spPr>
        <a:xfrm>
          <a:off x="6477000" y="1657350"/>
          <a:ext cx="2971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bg1"/>
              </a:solidFill>
            </a:rPr>
            <a:t>EQUIPMENT  REPAIR / MAINTENANCE COST PER END USER</a:t>
          </a:r>
        </a:p>
      </xdr:txBody>
    </xdr:sp>
    <xdr:clientData/>
  </xdr:twoCellAnchor>
  <xdr:twoCellAnchor editAs="absolute">
    <xdr:from>
      <xdr:col>14</xdr:col>
      <xdr:colOff>257175</xdr:colOff>
      <xdr:row>9</xdr:row>
      <xdr:rowOff>19050</xdr:rowOff>
    </xdr:from>
    <xdr:to>
      <xdr:col>17</xdr:col>
      <xdr:colOff>638175</xdr:colOff>
      <xdr:row>10</xdr:row>
      <xdr:rowOff>9525</xdr:rowOff>
    </xdr:to>
    <xdr:sp macro="" textlink="">
      <xdr:nvSpPr>
        <xdr:cNvPr id="7370" name="TextBox 7369">
          <a:extLst>
            <a:ext uri="{FF2B5EF4-FFF2-40B4-BE49-F238E27FC236}">
              <a16:creationId xmlns:a16="http://schemas.microsoft.com/office/drawing/2014/main" id="{4CC50B18-C659-EAA9-9D1C-7713BA9E9F79}"/>
            </a:ext>
          </a:extLst>
        </xdr:cNvPr>
        <xdr:cNvSpPr txBox="1"/>
      </xdr:nvSpPr>
      <xdr:spPr>
        <a:xfrm>
          <a:off x="9563100" y="1666875"/>
          <a:ext cx="2924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chemeClr val="bg1"/>
              </a:solidFill>
            </a:rPr>
            <a:t>FACILITY REPAIR / MAINTENANCE COST PER END USER</a:t>
          </a:r>
        </a:p>
      </xdr:txBody>
    </xdr:sp>
    <xdr:clientData/>
  </xdr:twoCellAnchor>
  <xdr:twoCellAnchor editAs="absolute">
    <xdr:from>
      <xdr:col>14</xdr:col>
      <xdr:colOff>110293</xdr:colOff>
      <xdr:row>47</xdr:row>
      <xdr:rowOff>99257</xdr:rowOff>
    </xdr:from>
    <xdr:to>
      <xdr:col>17</xdr:col>
      <xdr:colOff>807523</xdr:colOff>
      <xdr:row>51</xdr:row>
      <xdr:rowOff>0</xdr:rowOff>
    </xdr:to>
    <xdr:sp macro="" textlink="">
      <xdr:nvSpPr>
        <xdr:cNvPr id="7371" name="Rectangle: Rounded Corners 7370">
          <a:extLst>
            <a:ext uri="{FF2B5EF4-FFF2-40B4-BE49-F238E27FC236}">
              <a16:creationId xmlns:a16="http://schemas.microsoft.com/office/drawing/2014/main" id="{4CB94948-CB79-EB74-EB10-CE7AD16B3CF3}"/>
            </a:ext>
          </a:extLst>
        </xdr:cNvPr>
        <xdr:cNvSpPr/>
      </xdr:nvSpPr>
      <xdr:spPr>
        <a:xfrm>
          <a:off x="9416218" y="8747957"/>
          <a:ext cx="3240405" cy="662743"/>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192866</xdr:colOff>
      <xdr:row>47</xdr:row>
      <xdr:rowOff>169414</xdr:rowOff>
    </xdr:from>
    <xdr:to>
      <xdr:col>15</xdr:col>
      <xdr:colOff>342900</xdr:colOff>
      <xdr:row>50</xdr:row>
      <xdr:rowOff>114300</xdr:rowOff>
    </xdr:to>
    <xdr:sp macro="" textlink="">
      <xdr:nvSpPr>
        <xdr:cNvPr id="7372" name="TextBox 7371">
          <a:extLst>
            <a:ext uri="{FF2B5EF4-FFF2-40B4-BE49-F238E27FC236}">
              <a16:creationId xmlns:a16="http://schemas.microsoft.com/office/drawing/2014/main" id="{D83CB1DF-7970-70E4-32EE-926087161967}"/>
            </a:ext>
          </a:extLst>
        </xdr:cNvPr>
        <xdr:cNvSpPr txBox="1"/>
      </xdr:nvSpPr>
      <xdr:spPr>
        <a:xfrm>
          <a:off x="9498791" y="8818114"/>
          <a:ext cx="940609" cy="51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CHAIRMAN UYO -</a:t>
          </a:r>
        </a:p>
      </xdr:txBody>
    </xdr:sp>
    <xdr:clientData/>
  </xdr:twoCellAnchor>
  <xdr:twoCellAnchor editAs="absolute">
    <xdr:from>
      <xdr:col>15</xdr:col>
      <xdr:colOff>445771</xdr:colOff>
      <xdr:row>48</xdr:row>
      <xdr:rowOff>72390</xdr:rowOff>
    </xdr:from>
    <xdr:to>
      <xdr:col>16</xdr:col>
      <xdr:colOff>857251</xdr:colOff>
      <xdr:row>49</xdr:row>
      <xdr:rowOff>171450</xdr:rowOff>
    </xdr:to>
    <xdr:sp macro="" textlink="Data_Analysis!$AC$42">
      <xdr:nvSpPr>
        <xdr:cNvPr id="7373" name="TextBox 7372">
          <a:extLst>
            <a:ext uri="{FF2B5EF4-FFF2-40B4-BE49-F238E27FC236}">
              <a16:creationId xmlns:a16="http://schemas.microsoft.com/office/drawing/2014/main" id="{D46C9504-55DF-0F1A-EA27-2A0E1971EA71}"/>
            </a:ext>
          </a:extLst>
        </xdr:cNvPr>
        <xdr:cNvSpPr txBox="1"/>
      </xdr:nvSpPr>
      <xdr:spPr>
        <a:xfrm>
          <a:off x="10542271" y="8911590"/>
          <a:ext cx="1249680" cy="28956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9090204-1E75-41A7-A5FF-4A3E63D388DC}" type="TxLink">
            <a:rPr lang="en-US" sz="1100" b="0"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clientData/>
  </xdr:twoCellAnchor>
  <xdr:twoCellAnchor>
    <xdr:from>
      <xdr:col>16</xdr:col>
      <xdr:colOff>847726</xdr:colOff>
      <xdr:row>47</xdr:row>
      <xdr:rowOff>32582</xdr:rowOff>
    </xdr:from>
    <xdr:to>
      <xdr:col>17</xdr:col>
      <xdr:colOff>910394</xdr:colOff>
      <xdr:row>50</xdr:row>
      <xdr:rowOff>161170</xdr:rowOff>
    </xdr:to>
    <xdr:graphicFrame macro="">
      <xdr:nvGraphicFramePr>
        <xdr:cNvPr id="7380" name="Chart 7379">
          <a:extLst>
            <a:ext uri="{FF2B5EF4-FFF2-40B4-BE49-F238E27FC236}">
              <a16:creationId xmlns:a16="http://schemas.microsoft.com/office/drawing/2014/main" id="{C22179D7-57C1-40DF-A7C9-16E104C8E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17</xdr:col>
      <xdr:colOff>190500</xdr:colOff>
      <xdr:row>48</xdr:row>
      <xdr:rowOff>76200</xdr:rowOff>
    </xdr:from>
    <xdr:to>
      <xdr:col>17</xdr:col>
      <xdr:colOff>800100</xdr:colOff>
      <xdr:row>49</xdr:row>
      <xdr:rowOff>180975</xdr:rowOff>
    </xdr:to>
    <xdr:sp macro="" textlink="Data_Analysis!AD42">
      <xdr:nvSpPr>
        <xdr:cNvPr id="7381" name="TextBox 7380">
          <a:extLst>
            <a:ext uri="{FF2B5EF4-FFF2-40B4-BE49-F238E27FC236}">
              <a16:creationId xmlns:a16="http://schemas.microsoft.com/office/drawing/2014/main" id="{00869BC2-B7BF-2CEC-796B-6DD81F86CD07}"/>
            </a:ext>
          </a:extLst>
        </xdr:cNvPr>
        <xdr:cNvSpPr txBox="1"/>
      </xdr:nvSpPr>
      <xdr:spPr>
        <a:xfrm>
          <a:off x="12039600" y="8915400"/>
          <a:ext cx="609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3EA269-1A50-4ED3-9761-AD6319BBFE0D}" type="TxLink">
            <a:rPr lang="en-US" sz="900" b="0" i="0" u="none" strike="noStrike">
              <a:solidFill>
                <a:schemeClr val="bg1"/>
              </a:solidFill>
              <a:latin typeface="Calibri"/>
              <a:ea typeface="Calibri"/>
              <a:cs typeface="Calibri"/>
            </a:rPr>
            <a:pPr/>
            <a:t>#REF!</a:t>
          </a:fld>
          <a:endParaRPr lang="en-US" sz="900">
            <a:solidFill>
              <a:schemeClr val="bg1"/>
            </a:solidFill>
          </a:endParaRPr>
        </a:p>
      </xdr:txBody>
    </xdr:sp>
    <xdr:clientData/>
  </xdr:twoCellAnchor>
  <xdr:twoCellAnchor>
    <xdr:from>
      <xdr:col>6</xdr:col>
      <xdr:colOff>680086</xdr:colOff>
      <xdr:row>10</xdr:row>
      <xdr:rowOff>47624</xdr:rowOff>
    </xdr:from>
    <xdr:to>
      <xdr:col>10</xdr:col>
      <xdr:colOff>533701</xdr:colOff>
      <xdr:row>14</xdr:row>
      <xdr:rowOff>123825</xdr:rowOff>
    </xdr:to>
    <xdr:grpSp>
      <xdr:nvGrpSpPr>
        <xdr:cNvPr id="7383" name="Group 7382">
          <a:extLst>
            <a:ext uri="{FF2B5EF4-FFF2-40B4-BE49-F238E27FC236}">
              <a16:creationId xmlns:a16="http://schemas.microsoft.com/office/drawing/2014/main" id="{7874C5F0-ABE7-6A82-9AC8-4402560B8F0F}"/>
            </a:ext>
          </a:extLst>
        </xdr:cNvPr>
        <xdr:cNvGrpSpPr/>
      </xdr:nvGrpSpPr>
      <xdr:grpSpPr>
        <a:xfrm>
          <a:off x="3943986" y="1898649"/>
          <a:ext cx="2790490" cy="679451"/>
          <a:chOff x="3794761" y="1962149"/>
          <a:chExt cx="2644440" cy="714376"/>
        </a:xfrm>
      </xdr:grpSpPr>
      <xdr:sp macro="" textlink="">
        <xdr:nvSpPr>
          <xdr:cNvPr id="12" name="Rectangle: Rounded Corners 11">
            <a:extLst>
              <a:ext uri="{FF2B5EF4-FFF2-40B4-BE49-F238E27FC236}">
                <a16:creationId xmlns:a16="http://schemas.microsoft.com/office/drawing/2014/main" id="{6E47CCFF-1509-4DBA-BC9F-5EDA37B360A7}"/>
              </a:ext>
            </a:extLst>
          </xdr:cNvPr>
          <xdr:cNvSpPr/>
        </xdr:nvSpPr>
        <xdr:spPr>
          <a:xfrm>
            <a:off x="3832675" y="1981200"/>
            <a:ext cx="2606526" cy="6953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CD77A7C2-7B39-40CA-BB5D-ACFD7A52BBCD}"/>
              </a:ext>
            </a:extLst>
          </xdr:cNvPr>
          <xdr:cNvSpPr txBox="1"/>
        </xdr:nvSpPr>
        <xdr:spPr>
          <a:xfrm>
            <a:off x="3794761" y="2235638"/>
            <a:ext cx="758189" cy="315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LAGOS -</a:t>
            </a:r>
          </a:p>
        </xdr:txBody>
      </xdr:sp>
      <xdr:sp macro="" textlink="Data_Analysis!O12">
        <xdr:nvSpPr>
          <xdr:cNvPr id="31" name="TextBox 30">
            <a:extLst>
              <a:ext uri="{FF2B5EF4-FFF2-40B4-BE49-F238E27FC236}">
                <a16:creationId xmlns:a16="http://schemas.microsoft.com/office/drawing/2014/main" id="{13EB278A-2CB5-6ABE-24B7-28E923F5B126}"/>
              </a:ext>
            </a:extLst>
          </xdr:cNvPr>
          <xdr:cNvSpPr txBox="1"/>
        </xdr:nvSpPr>
        <xdr:spPr>
          <a:xfrm>
            <a:off x="4324350" y="2217420"/>
            <a:ext cx="1312819" cy="281940"/>
          </a:xfrm>
          <a:prstGeom prst="rect">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51A8557-0EF1-4727-BBFE-0110206477A1}" type="TxLink">
              <a:rPr lang="en-US" sz="1100" b="1" i="0" u="none" strike="noStrike">
                <a:solidFill>
                  <a:schemeClr val="bg1"/>
                </a:solidFill>
                <a:latin typeface="Calibri"/>
                <a:ea typeface="Calibri"/>
                <a:cs typeface="Calibri"/>
              </a:rPr>
              <a:pPr marL="0" indent="0" algn="l"/>
              <a:t>#REF!</a:t>
            </a:fld>
            <a:endParaRPr lang="en-US" sz="1100" b="1" i="0" u="none" strike="noStrike">
              <a:solidFill>
                <a:schemeClr val="bg1"/>
              </a:solidFill>
              <a:latin typeface="Calibri"/>
              <a:ea typeface="Calibri"/>
              <a:cs typeface="Calibri"/>
            </a:endParaRPr>
          </a:p>
        </xdr:txBody>
      </xdr:sp>
      <xdr:graphicFrame macro="">
        <xdr:nvGraphicFramePr>
          <xdr:cNvPr id="7236" name="Chart 7235">
            <a:extLst>
              <a:ext uri="{FF2B5EF4-FFF2-40B4-BE49-F238E27FC236}">
                <a16:creationId xmlns:a16="http://schemas.microsoft.com/office/drawing/2014/main" id="{28EED30A-C06E-4CEE-9EB1-35F793DD776C}"/>
              </a:ext>
            </a:extLst>
          </xdr:cNvPr>
          <xdr:cNvGraphicFramePr>
            <a:graphicFrameLocks/>
          </xdr:cNvGraphicFramePr>
        </xdr:nvGraphicFramePr>
        <xdr:xfrm>
          <a:off x="5562601" y="1962149"/>
          <a:ext cx="793438" cy="695326"/>
        </xdr:xfrm>
        <a:graphic>
          <a:graphicData uri="http://schemas.openxmlformats.org/drawingml/2006/chart">
            <c:chart xmlns:c="http://schemas.openxmlformats.org/drawingml/2006/chart" xmlns:r="http://schemas.openxmlformats.org/officeDocument/2006/relationships" r:id="rId32"/>
          </a:graphicData>
        </a:graphic>
      </xdr:graphicFrame>
      <xdr:sp macro="" textlink="Data_Analysis!$P$12">
        <xdr:nvSpPr>
          <xdr:cNvPr id="7235" name="TextBox 7234">
            <a:extLst>
              <a:ext uri="{FF2B5EF4-FFF2-40B4-BE49-F238E27FC236}">
                <a16:creationId xmlns:a16="http://schemas.microsoft.com/office/drawing/2014/main" id="{58A3AEAF-0D28-0C4E-0819-593120F9C65C}"/>
              </a:ext>
            </a:extLst>
          </xdr:cNvPr>
          <xdr:cNvSpPr txBox="1"/>
        </xdr:nvSpPr>
        <xdr:spPr>
          <a:xfrm>
            <a:off x="5781675" y="2181225"/>
            <a:ext cx="5905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4D9C89-9AF0-4DF0-A2A7-E6064BE1FCE7}" type="TxLink">
              <a:rPr lang="en-US" sz="1000" b="0" i="0" u="none" strike="noStrike">
                <a:solidFill>
                  <a:schemeClr val="bg1"/>
                </a:solidFill>
                <a:latin typeface="Calibri"/>
                <a:ea typeface="Calibri"/>
                <a:cs typeface="Calibri"/>
              </a:rPr>
              <a:pPr/>
              <a:t>#REF!</a:t>
            </a:fld>
            <a:endParaRPr lang="en-US" sz="800">
              <a:solidFill>
                <a:schemeClr val="bg1"/>
              </a:solidFill>
            </a:endParaRPr>
          </a:p>
        </xdr:txBody>
      </xdr:sp>
    </xdr:grpSp>
    <xdr:clientData/>
  </xdr:twoCellAnchor>
  <xdr:twoCellAnchor>
    <xdr:from>
      <xdr:col>9</xdr:col>
      <xdr:colOff>279872</xdr:colOff>
      <xdr:row>18</xdr:row>
      <xdr:rowOff>104775</xdr:rowOff>
    </xdr:from>
    <xdr:to>
      <xdr:col>11</xdr:col>
      <xdr:colOff>28575</xdr:colOff>
      <xdr:row>22</xdr:row>
      <xdr:rowOff>142875</xdr:rowOff>
    </xdr:to>
    <xdr:graphicFrame macro="">
      <xdr:nvGraphicFramePr>
        <xdr:cNvPr id="7387" name="Chart 7386">
          <a:extLst>
            <a:ext uri="{FF2B5EF4-FFF2-40B4-BE49-F238E27FC236}">
              <a16:creationId xmlns:a16="http://schemas.microsoft.com/office/drawing/2014/main" id="{8043A343-5F06-4624-9A53-7F7E62302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9</xdr:col>
      <xdr:colOff>476250</xdr:colOff>
      <xdr:row>20</xdr:row>
      <xdr:rowOff>26670</xdr:rowOff>
    </xdr:from>
    <xdr:to>
      <xdr:col>10</xdr:col>
      <xdr:colOff>504826</xdr:colOff>
      <xdr:row>21</xdr:row>
      <xdr:rowOff>76200</xdr:rowOff>
    </xdr:to>
    <xdr:sp macro="" textlink="Data_Analysis!P18">
      <xdr:nvSpPr>
        <xdr:cNvPr id="7390" name="TextBox 7389">
          <a:extLst>
            <a:ext uri="{FF2B5EF4-FFF2-40B4-BE49-F238E27FC236}">
              <a16:creationId xmlns:a16="http://schemas.microsoft.com/office/drawing/2014/main" id="{660F016E-EAB6-4597-A9E8-14BAAEA4A482}"/>
            </a:ext>
          </a:extLst>
        </xdr:cNvPr>
        <xdr:cNvSpPr txBox="1"/>
      </xdr:nvSpPr>
      <xdr:spPr>
        <a:xfrm>
          <a:off x="5791200" y="3722370"/>
          <a:ext cx="619126"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713429-8941-45A8-9A27-87A85F9CE150}" type="TxLink">
            <a:rPr lang="en-US" sz="1100" b="0" i="0" u="none" strike="noStrike">
              <a:solidFill>
                <a:schemeClr val="bg1"/>
              </a:solidFill>
              <a:latin typeface="Calibri"/>
              <a:ea typeface="Calibri"/>
              <a:cs typeface="Calibri"/>
            </a:rPr>
            <a:pPr/>
            <a:t>#REF!</a:t>
          </a:fld>
          <a:endParaRPr lang="en-US" sz="1200">
            <a:solidFill>
              <a:schemeClr val="bg1"/>
            </a:solidFill>
          </a:endParaRPr>
        </a:p>
      </xdr:txBody>
    </xdr:sp>
    <xdr:clientData/>
  </xdr:twoCellAnchor>
  <xdr:twoCellAnchor editAs="absolute">
    <xdr:from>
      <xdr:col>14</xdr:col>
      <xdr:colOff>714375</xdr:colOff>
      <xdr:row>143</xdr:row>
      <xdr:rowOff>38100</xdr:rowOff>
    </xdr:from>
    <xdr:to>
      <xdr:col>19</xdr:col>
      <xdr:colOff>11430</xdr:colOff>
      <xdr:row>146</xdr:row>
      <xdr:rowOff>9525</xdr:rowOff>
    </xdr:to>
    <xdr:sp macro="" textlink="">
      <xdr:nvSpPr>
        <xdr:cNvPr id="7180" name="Rectangle: Rounded Corners 7179">
          <a:extLst>
            <a:ext uri="{FF2B5EF4-FFF2-40B4-BE49-F238E27FC236}">
              <a16:creationId xmlns:a16="http://schemas.microsoft.com/office/drawing/2014/main" id="{C0397947-B48D-4D2D-81C3-DA17AF69655C}"/>
            </a:ext>
          </a:extLst>
        </xdr:cNvPr>
        <xdr:cNvSpPr/>
      </xdr:nvSpPr>
      <xdr:spPr>
        <a:xfrm>
          <a:off x="10020300" y="26917650"/>
          <a:ext cx="3707130" cy="5429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TOP 5 EQUIPMENT WITH HIGHEST MAINTENACE</a:t>
          </a:r>
          <a:r>
            <a:rPr lang="en-US" sz="1100" b="1" i="0" u="none" strike="noStrike" baseline="0">
              <a:solidFill>
                <a:schemeClr val="bg1"/>
              </a:solidFill>
              <a:latin typeface="Calibri"/>
              <a:ea typeface="Calibri"/>
              <a:cs typeface="Calibri"/>
            </a:rPr>
            <a:t> COST</a:t>
          </a:r>
        </a:p>
      </xdr:txBody>
    </xdr:sp>
    <xdr:clientData/>
  </xdr:twoCellAnchor>
  <xdr:twoCellAnchor editAs="absolute">
    <xdr:from>
      <xdr:col>14</xdr:col>
      <xdr:colOff>781050</xdr:colOff>
      <xdr:row>87</xdr:row>
      <xdr:rowOff>114300</xdr:rowOff>
    </xdr:from>
    <xdr:to>
      <xdr:col>19</xdr:col>
      <xdr:colOff>78105</xdr:colOff>
      <xdr:row>90</xdr:row>
      <xdr:rowOff>85725</xdr:rowOff>
    </xdr:to>
    <xdr:sp macro="" textlink="">
      <xdr:nvSpPr>
        <xdr:cNvPr id="7223" name="Rectangle: Rounded Corners 7222">
          <a:extLst>
            <a:ext uri="{FF2B5EF4-FFF2-40B4-BE49-F238E27FC236}">
              <a16:creationId xmlns:a16="http://schemas.microsoft.com/office/drawing/2014/main" id="{A987D17F-4CEC-4C68-A392-C5A1E18B3199}"/>
            </a:ext>
          </a:extLst>
        </xdr:cNvPr>
        <xdr:cNvSpPr/>
      </xdr:nvSpPr>
      <xdr:spPr>
        <a:xfrm>
          <a:off x="10086975" y="16316325"/>
          <a:ext cx="3707130" cy="5429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TOP 5 VEHICLES WITH HIGHEST MAINTENACE</a:t>
          </a:r>
          <a:r>
            <a:rPr lang="en-US" sz="1100" b="1" i="0" u="none" strike="noStrike" baseline="0">
              <a:solidFill>
                <a:schemeClr val="bg1"/>
              </a:solidFill>
              <a:latin typeface="Calibri"/>
              <a:ea typeface="Calibri"/>
              <a:cs typeface="Calibri"/>
            </a:rPr>
            <a:t> COST</a:t>
          </a:r>
        </a:p>
      </xdr:txBody>
    </xdr:sp>
    <xdr:clientData/>
  </xdr:twoCellAnchor>
  <xdr:twoCellAnchor editAs="absolute">
    <xdr:from>
      <xdr:col>15</xdr:col>
      <xdr:colOff>9525</xdr:colOff>
      <xdr:row>192</xdr:row>
      <xdr:rowOff>19050</xdr:rowOff>
    </xdr:from>
    <xdr:to>
      <xdr:col>19</xdr:col>
      <xdr:colOff>97155</xdr:colOff>
      <xdr:row>195</xdr:row>
      <xdr:rowOff>0</xdr:rowOff>
    </xdr:to>
    <xdr:sp macro="" textlink="">
      <xdr:nvSpPr>
        <xdr:cNvPr id="7225" name="Rectangle: Rounded Corners 7224">
          <a:extLst>
            <a:ext uri="{FF2B5EF4-FFF2-40B4-BE49-F238E27FC236}">
              <a16:creationId xmlns:a16="http://schemas.microsoft.com/office/drawing/2014/main" id="{317DA424-DB81-4304-B58B-D7C0E4D7D660}"/>
            </a:ext>
          </a:extLst>
        </xdr:cNvPr>
        <xdr:cNvSpPr/>
      </xdr:nvSpPr>
      <xdr:spPr>
        <a:xfrm>
          <a:off x="10106025" y="36233100"/>
          <a:ext cx="3707130" cy="542925"/>
        </a:xfrm>
        <a:prstGeom prst="roundRect">
          <a:avLst>
            <a:gd name="adj" fmla="val 2455"/>
          </a:avLst>
        </a:prstGeom>
        <a:solidFill>
          <a:srgbClr val="303B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TOP 5 FACILITIES WITH HIGHEST MAINTENACE</a:t>
          </a:r>
          <a:r>
            <a:rPr lang="en-US" sz="1100" b="1" i="0" u="none" strike="noStrike" baseline="0">
              <a:solidFill>
                <a:schemeClr val="bg1"/>
              </a:solidFill>
              <a:latin typeface="Calibri"/>
              <a:ea typeface="Calibri"/>
              <a:cs typeface="Calibri"/>
            </a:rPr>
            <a:t> COST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LC21231/Documents/Desicon%20Store/~Inventory%20For%20Desicon%20Corporate%20Store/2023%20-Inventory%20For%20Desicon%20Corporate%20Sto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Page"/>
      <sheetName val="Searchable Inventory Item List"/>
      <sheetName val="Material Received"/>
      <sheetName val="Material Issued"/>
      <sheetName val="On-Hand Summary"/>
      <sheetName val="Inventory Stats"/>
      <sheetName val="Sheet1"/>
      <sheetName val="Requisition Tracker"/>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ns1="http://schemas.openxmlformats.org/markup-compatibility/2006" xmlns:ns2="http://schemas.openxmlformats.org/officeDocument/2006/relationships" xmlns:ns3="http://schemas.microsoft.com/office/spreadsheetml/2014/revision" xmlns:ns4="http://schemas.microsoft.com/office/spreadsheetml/2009/9/main" ns1:Ignorable="xr" ns2:id="rId1" refreshedBy="Christian Bassey" refreshedDate="45660.320897106481" createdVersion="8" refreshedVersion="8" minRefreshableVersion="3" recordCount="79" ns3:uid="{7B95DC82-97AD-46D0-B20B-E78DD435F7E8}" refreshOnLoad="1">
  <cacheSource type="worksheet">
    <worksheetSource name="Facility"/>
  </cacheSource>
  <cacheFields count="14">
    <cacheField name="MONTH" numFmtId="0">
      <sharedItems containsNonDate="0" containsBlank="1" count="12">
        <m/>
        <s v="Jan" u="1"/>
        <s v="Jun" u="1"/>
        <s v="Feb" u="1"/>
        <s v="Mar" u="1"/>
        <s v="Apr" u="1"/>
        <s v="May" u="1"/>
        <s v="Jul" u="1"/>
        <s v="Aug" u="1"/>
        <s v="Sep" u="1"/>
        <s v="Oct" u="1"/>
        <s v="Nov" u="1"/>
      </sharedItems>
    </cacheField>
    <cacheField name="DATE OF REQUEST" numFmtId="166">
      <sharedItems containsNonDate="0" containsString="0" containsBlank="1" count="1">
        <m/>
      </sharedItems>
    </cacheField>
    <cacheField name="REQUESTOR" numFmtId="0">
      <sharedItems containsNonDate="0" containsString="0" containsBlank="1"/>
    </cacheField>
    <cacheField name="MRSF No." numFmtId="0">
      <sharedItems containsNonDate="0" containsString="0" containsBlank="1"/>
    </cacheField>
    <cacheField name="NOTIFICATION STATUS" numFmtId="0">
      <sharedItems/>
    </cacheField>
    <cacheField name="END USER" numFmtId="0">
      <sharedItems containsNonDate="0" containsString="0" containsBlank="1"/>
    </cacheField>
    <cacheField name="LOCATION" numFmtId="0">
      <sharedItems containsNonDate="0" containsBlank="1" count="16">
        <m/>
        <s v="PHC OFFICE" u="1"/>
        <s v="LAGOS OFFICE" u="1"/>
        <s v="DR" u="1"/>
        <s v="GML" u="1"/>
        <s v="TOMY RESIDENCE" u="1"/>
        <s v="AK GUEST HOUSE, LAGOS" u="1"/>
        <s v="DGS" u="1"/>
        <s v="LAGOS GUEST HOUSE" u="1"/>
        <s v="WOJI" u="1"/>
        <s v="AK, UYO" u="1"/>
        <s v="AK, LAGOS" u="1"/>
        <s v="CHAIRMAN UYO" u="1"/>
        <s v="AK GUEST HOUSE" u="1"/>
        <s v="AKAN RESIDENCE" u="1"/>
        <s v="UYO" u="1"/>
      </sharedItems>
    </cacheField>
    <cacheField name="ROOM / FLAT" numFmtId="0">
      <sharedItems containsNonDate="0" containsString="0" containsBlank="1"/>
    </cacheField>
    <cacheField name="ASSET DESCRIPTION" numFmtId="0">
      <sharedItems containsNonDate="0" containsString="0" containsBlank="1"/>
    </cacheField>
    <cacheField name="DESCRIPTION OF REQUEST" numFmtId="0">
      <sharedItems containsNonDate="0" containsString="0" containsBlank="1"/>
    </cacheField>
    <cacheField name="DESCRIPTION OF WORK DONE" numFmtId="0">
      <sharedItems containsNonDate="0" containsString="0" containsBlank="1"/>
    </cacheField>
    <cacheField name="NAME " numFmtId="0">
      <sharedItems containsNonDate="0" containsString="0" containsBlank="1"/>
    </cacheField>
    <cacheField name="STATUS OF WORK" numFmtId="0">
      <sharedItems containsNonDate="0" containsString="0" containsBlank="1"/>
    </cacheField>
    <cacheField name="SPARES COST (NGN)" numFmtId="164">
      <sharedItems containsNonDate="0" containsString="0" containsBlank="1"/>
    </cacheField>
  </cacheFields>
  <extLst>
    <ext uri="{725AE2AE-9491-48be-B2B4-4EB974FC3084}">
      <ns4:pivotCacheDefinition pivotCacheId="186861412"/>
    </ext>
  </extLst>
</pivotCacheDefinition>
</file>

<file path=xl/pivotCache/pivotCacheDefinition2.xml><?xml version="1.0" encoding="utf-8"?>
<pivotCacheDefinition xmlns="http://schemas.openxmlformats.org/spreadsheetml/2006/main" xmlns:ns1="http://schemas.openxmlformats.org/markup-compatibility/2006" xmlns:ns2="http://schemas.openxmlformats.org/officeDocument/2006/relationships" xmlns:ns3="http://schemas.microsoft.com/office/spreadsheetml/2014/revision" xmlns:ns4="http://schemas.microsoft.com/office/spreadsheetml/2009/9/main" ns1:Ignorable="xr" ns2:id="rId1" refreshedBy="Christian Bassey" refreshedDate="45660.320897800928" createdVersion="8" refreshedVersion="8" minRefreshableVersion="3" recordCount="82" ns3:uid="{A8BEC1BE-4E6D-41A6-BE86-C3E5E44CF4B8}" refreshOnLoad="1">
  <cacheSource type="worksheet">
    <worksheetSource name="Vehicle"/>
  </cacheSource>
  <cacheFields count="20">
    <cacheField name="MONTH" numFmtId="0">
      <sharedItems containsNonDate="0" containsBlank="1" count="12">
        <m/>
        <s v="Jan" u="1"/>
        <s v="Feb" u="1"/>
        <s v="Mar" u="1"/>
        <s v="Apr" u="1"/>
        <s v="May" u="1"/>
        <s v="Jun" u="1"/>
        <s v="Jul" u="1"/>
        <s v="Aug" u="1"/>
        <s v="Sep" u="1"/>
        <s v="Oct" u="1"/>
        <s v="Nov" u="1"/>
      </sharedItems>
    </cacheField>
    <cacheField name="DATE OF REQUEST" numFmtId="15">
      <sharedItems containsNonDate="0" containsDate="1" containsString="0" containsBlank="1" minDate="2020-10-14T00:00:00" maxDate="2024-11-29T00:00:00" count="140">
        <m/>
        <d v="2024-01-03T00:00:00" u="1"/>
        <d v="2024-01-04T00:00:00" u="1"/>
        <d v="2024-01-08T00:00:00" u="1"/>
        <d v="2024-01-09T00:00:00" u="1"/>
        <d v="2024-01-10T00:00:00" u="1"/>
        <d v="2024-01-11T00:00:00" u="1"/>
        <d v="2024-01-15T00:00:00" u="1"/>
        <d v="2024-01-16T00:00:00" u="1"/>
        <d v="2024-01-17T00:00:00" u="1"/>
        <d v="2024-01-19T00:00:00" u="1"/>
        <d v="2024-01-22T00:00:00" u="1"/>
        <d v="2024-01-24T00:00:00" u="1"/>
        <d v="2024-01-25T00:00:00" u="1"/>
        <d v="2024-01-29T00:00:00" u="1"/>
        <d v="2024-01-30T00:00:00" u="1"/>
        <d v="2024-01-31T00:00:00" u="1"/>
        <d v="2024-02-01T00:00:00" u="1"/>
        <d v="2024-02-02T00:00:00" u="1"/>
        <d v="2024-02-05T00:00:00" u="1"/>
        <d v="2024-02-07T00:00:00" u="1"/>
        <d v="2024-02-12T00:00:00" u="1"/>
        <d v="2024-02-15T00:00:00" u="1"/>
        <d v="2024-02-16T00:00:00" u="1"/>
        <d v="2024-02-17T00:00:00" u="1"/>
        <d v="2024-02-19T00:00:00" u="1"/>
        <d v="2024-02-20T00:00:00" u="1"/>
        <d v="2024-02-21T00:00:00" u="1"/>
        <d v="2024-02-22T00:00:00" u="1"/>
        <d v="2024-02-27T00:00:00" u="1"/>
        <d v="2024-02-28T00:00:00" u="1"/>
        <d v="2024-02-29T00:00:00" u="1"/>
        <d v="2024-03-01T00:00:00" u="1"/>
        <d v="2024-03-06T00:00:00" u="1"/>
        <d v="2024-03-08T00:00:00" u="1"/>
        <d v="2024-03-12T00:00:00" u="1"/>
        <d v="2024-03-13T00:00:00" u="1"/>
        <d v="2024-03-14T00:00:00" u="1"/>
        <d v="2024-03-18T00:00:00" u="1"/>
        <d v="2024-03-19T00:00:00" u="1"/>
        <d v="2024-03-26T00:00:00" u="1"/>
        <d v="2024-03-28T00:00:00" u="1"/>
        <d v="2024-04-02T00:00:00" u="1"/>
        <d v="2024-04-03T00:00:00" u="1"/>
        <d v="2024-04-04T00:00:00" u="1"/>
        <d v="2024-04-08T00:00:00" u="1"/>
        <d v="2024-04-12T00:00:00" u="1"/>
        <d v="2024-04-14T00:00:00" u="1"/>
        <d v="2024-04-16T00:00:00" u="1"/>
        <d v="2024-04-24T00:00:00" u="1"/>
        <d v="2024-04-25T00:00:00" u="1"/>
        <d v="2024-04-28T00:00:00" u="1"/>
        <d v="2024-04-29T00:00:00" u="1"/>
        <d v="2024-04-30T00:00:00" u="1"/>
        <d v="2024-05-02T00:00:00" u="1"/>
        <d v="2024-05-06T00:00:00" u="1"/>
        <d v="2024-05-07T00:00:00" u="1"/>
        <d v="2024-05-10T00:00:00" u="1"/>
        <d v="2024-05-13T00:00:00" u="1"/>
        <d v="2024-05-14T00:00:00" u="1"/>
        <d v="2024-05-17T00:00:00" u="1"/>
        <d v="2024-05-21T00:00:00" u="1"/>
        <d v="2024-05-22T00:00:00" u="1"/>
        <d v="2024-05-23T00:00:00" u="1"/>
        <d v="2024-05-24T00:00:00" u="1"/>
        <d v="2024-05-27T00:00:00" u="1"/>
        <d v="2024-05-28T00:00:00" u="1"/>
        <d v="2024-05-31T00:00:00" u="1"/>
        <d v="2024-06-05T00:00:00" u="1"/>
        <d v="2024-06-06T00:00:00" u="1"/>
        <d v="2024-06-07T00:00:00" u="1"/>
        <d v="2024-06-11T00:00:00" u="1"/>
        <d v="2024-06-14T00:00:00" u="1"/>
        <d v="2024-06-19T00:00:00" u="1"/>
        <d v="2024-06-20T00:00:00" u="1"/>
        <d v="2024-06-21T00:00:00" u="1"/>
        <d v="2024-06-24T00:00:00" u="1"/>
        <d v="2024-06-25T00:00:00" u="1"/>
        <d v="2024-07-03T00:00:00" u="1"/>
        <d v="2024-07-04T00:00:00" u="1"/>
        <d v="2024-07-05T00:00:00" u="1"/>
        <d v="2024-07-08T00:00:00" u="1"/>
        <d v="2024-07-09T00:00:00" u="1"/>
        <d v="2024-07-11T00:00:00" u="1"/>
        <d v="2024-07-12T00:00:00" u="1"/>
        <d v="2024-07-15T00:00:00" u="1"/>
        <d v="2024-07-18T00:00:00" u="1"/>
        <d v="2024-07-19T00:00:00" u="1"/>
        <d v="2024-07-25T00:00:00" u="1"/>
        <d v="2024-07-29T00:00:00" u="1"/>
        <d v="2024-07-30T00:00:00" u="1"/>
        <d v="2024-07-31T00:00:00" u="1"/>
        <d v="2024-08-03T00:00:00" u="1"/>
        <d v="2024-08-06T00:00:00" u="1"/>
        <d v="2024-08-07T00:00:00" u="1"/>
        <d v="2024-08-11T00:00:00" u="1"/>
        <d v="2024-08-12T00:00:00" u="1"/>
        <d v="2024-08-13T00:00:00" u="1"/>
        <d v="2024-08-14T00:00:00" u="1"/>
        <d v="2024-08-15T00:00:00" u="1"/>
        <d v="2024-08-19T00:00:00" u="1"/>
        <d v="2024-08-20T00:00:00" u="1"/>
        <d v="2024-08-21T00:00:00" u="1"/>
        <d v="2024-08-22T00:00:00" u="1"/>
        <d v="2024-08-26T00:00:00" u="1"/>
        <d v="2024-08-28T00:00:00" u="1"/>
        <d v="2024-09-04T00:00:00" u="1"/>
        <d v="2024-09-05T00:00:00" u="1"/>
        <d v="2024-09-06T00:00:00" u="1"/>
        <d v="2024-09-10T00:00:00" u="1"/>
        <d v="2024-10-07T00:00:00" u="1"/>
        <d v="2024-09-11T00:00:00" u="1"/>
        <d v="2024-09-17T00:00:00" u="1"/>
        <d v="2024-09-18T00:00:00" u="1"/>
        <d v="2024-09-19T00:00:00" u="1"/>
        <d v="2024-09-20T00:00:00" u="1"/>
        <d v="2024-09-24T00:00:00" u="1"/>
        <d v="2024-09-25T00:00:00" u="1"/>
        <d v="2024-09-26T00:00:00" u="1"/>
        <d v="2024-09-30T00:00:00" u="1"/>
        <d v="2020-10-14T00:00:00" u="1"/>
        <d v="2024-10-15T00:00:00" u="1"/>
        <d v="2024-10-19T00:00:00" u="1"/>
        <d v="2024-10-21T00:00:00" u="1"/>
        <d v="2024-10-24T00:00:00" u="1"/>
        <d v="2024-10-27T00:00:00" u="1"/>
        <d v="2024-10-30T00:00:00" u="1"/>
        <d v="2024-10-31T00:00:00" u="1"/>
        <d v="2024-11-01T00:00:00" u="1"/>
        <d v="2024-11-04T00:00:00" u="1"/>
        <d v="2024-11-06T00:00:00" u="1"/>
        <d v="2024-11-07T00:00:00" u="1"/>
        <d v="2024-11-08T00:00:00" u="1"/>
        <d v="2024-11-12T00:00:00" u="1"/>
        <d v="2024-11-14T00:00:00" u="1"/>
        <d v="2024-11-15T00:00:00" u="1"/>
        <d v="2024-11-18T00:00:00" u="1"/>
        <d v="2024-11-25T00:00:00" u="1"/>
        <d v="2024-11-27T00:00:00" u="1"/>
        <d v="2024-11-28T00:00:00" u="1"/>
      </sharedItems>
    </cacheField>
    <cacheField name="REQUESTOR" numFmtId="165">
      <sharedItems containsNonDate="0" containsString="0" containsBlank="1"/>
    </cacheField>
    <cacheField name="MRSF No." numFmtId="165">
      <sharedItems containsNonDate="0" containsString="0" containsBlank="1"/>
    </cacheField>
    <cacheField name="NOTIFICATION STATUS" numFmtId="0">
      <sharedItems/>
    </cacheField>
    <cacheField name="REPAIR / MAINTENANCE LOCATION" numFmtId="165">
      <sharedItems containsNonDate="0" containsBlank="1" count="6">
        <m/>
        <s v="PORT HARCOURT" u="1"/>
        <s v="LAGOS" u="1"/>
        <s v="ABUJA" u="1"/>
        <s v="UYO" u="1"/>
        <s v="Formula1" f="1"/>
      </sharedItems>
    </cacheField>
    <cacheField name="ASSET NO." numFmtId="0">
      <sharedItems containsNonDate="0" containsString="0" containsBlank="1"/>
    </cacheField>
    <cacheField name="VEHICLE REG NO." numFmtId="0">
      <sharedItems containsMixedTypes="1" containsNumber="1" containsInteger="1" minValue="47" maxValue="47" count="2">
        <s v=""/>
        <n v="47" u="1"/>
      </sharedItems>
    </cacheField>
    <cacheField name="VEHICLE DESCRIPTION" numFmtId="0">
      <sharedItems/>
    </cacheField>
    <cacheField name="ODOMETER READING" numFmtId="0">
      <sharedItems containsNonDate="0" containsString="0" containsBlank="1"/>
    </cacheField>
    <cacheField name="DESCRIPTION OF REQUEST" numFmtId="165">
      <sharedItems containsNonDate="0" containsString="0" containsBlank="1"/>
    </cacheField>
    <cacheField name="DESCRIPTION OF WORK DONE" numFmtId="165">
      <sharedItems containsNonDate="0" containsString="0" containsBlank="1"/>
    </cacheField>
    <cacheField name="PARTS SUPPLIED BY" numFmtId="0">
      <sharedItems containsNonDate="0" containsString="0" containsBlank="1"/>
    </cacheField>
    <cacheField name="WORK DONE AT" numFmtId="0">
      <sharedItems containsNonDate="0" containsString="0" containsBlank="1"/>
    </cacheField>
    <cacheField name="DATE TAKEN TO WORKSHOP" numFmtId="15">
      <sharedItems containsNonDate="0" containsString="0" containsBlank="1"/>
    </cacheField>
    <cacheField name="STATUS OF WORK" numFmtId="0">
      <sharedItems containsNonDate="0" containsString="0" containsBlank="1"/>
    </cacheField>
    <cacheField name="DATE COMPLETED" numFmtId="15">
      <sharedItems containsNonDate="0" containsString="0" containsBlank="1"/>
    </cacheField>
    <cacheField name="DAYS TAKEN TO COMPLETE" numFmtId="0">
      <sharedItems/>
    </cacheField>
    <cacheField name="SPARES COST (NGN)" numFmtId="164">
      <sharedItems containsNonDate="0" containsString="0" containsBlank="1"/>
    </cacheField>
    <cacheField name="JUSTIFICATION / EVALUATION" numFmtId="0">
      <sharedItems containsNonDate="0" containsString="0" containsBlank="1"/>
    </cacheField>
  </cacheFields>
  <calculatedItems count="1">
    <calculatedItem>
      <pivotArea cacheIndex="1" outline="0" fieldPosition="0">
        <references count="1">
          <reference field="5" count="1">
            <x v="5"/>
          </reference>
        </references>
      </pivotArea>
    </calculatedItem>
  </calculatedItems>
  <extLst>
    <ext uri="{725AE2AE-9491-48be-B2B4-4EB974FC3084}">
      <ns4:pivotCacheDefinition pivotCacheId="391807169"/>
    </ext>
  </extLst>
</pivotCacheDefinition>
</file>

<file path=xl/pivotCache/pivotCacheDefinition3.xml><?xml version="1.0" encoding="utf-8"?>
<pivotCacheDefinition xmlns="http://schemas.openxmlformats.org/spreadsheetml/2006/main" xmlns:ns1="http://schemas.openxmlformats.org/markup-compatibility/2006" xmlns:ns2="http://schemas.openxmlformats.org/officeDocument/2006/relationships" xmlns:ns3="http://schemas.microsoft.com/office/spreadsheetml/2014/revision" xmlns:ns4="http://schemas.microsoft.com/office/spreadsheetml/2009/9/main" ns1:Ignorable="xr" ns2:id="rId1" refreshOnLoad="1" refreshedBy="Christian Bassey" refreshedDate="46293.462423958335" createdVersion="8" refreshedVersion="7" minRefreshableVersion="3" recordCount="152" ns3:uid="{602EDB38-4A7A-4DEE-A33E-7919795AFE84}">
  <cacheSource type="worksheet">
    <worksheetSource name="Equipment"/>
  </cacheSource>
  <cacheFields count="19">
    <cacheField name="MONTH" numFmtId="0">
      <sharedItems containsBlank="1" count="15">
        <s v="Jan"/>
        <s v="Feb"/>
        <s v="Mar"/>
        <s v="Apr"/>
        <s v="May"/>
        <m/>
        <s v="June" u="1"/>
        <s v="M " u="1"/>
        <s v="Sep" u="1"/>
        <s v="Nov" u="1"/>
        <s v="Oct" u="1"/>
        <s v="17/" u="1"/>
        <s v="Jul" u="1"/>
        <s v="Aug" u="1"/>
        <s v="Jun" u="1"/>
      </sharedItems>
    </cacheField>
    <cacheField name="DATE OF REQUEST" numFmtId="166">
      <sharedItems containsNonDate="0" containsDate="1" containsString="0" containsBlank="1" minDate="2026-01-05T00:00:00" maxDate="2026-05-13T00:00:00"/>
    </cacheField>
    <cacheField name="REQUESTOR" numFmtId="0">
      <sharedItems containsBlank="1"/>
    </cacheField>
    <cacheField name="MRSF No." numFmtId="0">
      <sharedItems containsBlank="1"/>
    </cacheField>
    <cacheField name="NOTIFICATION STATUS" numFmtId="0">
      <sharedItems/>
    </cacheField>
    <cacheField name="END USER" numFmtId="0">
      <sharedItems containsBlank="1"/>
    </cacheField>
    <cacheField name="LOCATION" numFmtId="0">
      <sharedItems containsBlank="1" count="13">
        <s v="DR"/>
        <s v="PHC OFFICE"/>
        <m/>
        <s v="WOJI"/>
        <s v="DGS"/>
        <s v="GML"/>
        <s v="CHAIRMAN, UYO" u="1"/>
        <s v="TOMY" u="1"/>
        <s v="AKAN, UYO" u="1"/>
        <s v="LAGOS OFFICE" u="1"/>
        <s v="AK, LAGOS" u="1"/>
        <s v="UYO" u="1"/>
        <s v="AK, UYO" u="1"/>
      </sharedItems>
    </cacheField>
    <cacheField name="ASSET NO." numFmtId="0">
      <sharedItems containsBlank="1" containsMixedTypes="1" containsNumber="1" containsInteger="1" minValue="6660000017" maxValue="6660024031"/>
    </cacheField>
    <cacheField name="ASSET DESCRIPTION" numFmtId="0">
      <sharedItems containsBlank="1" count="24">
        <s v="DR CUMMINS 275KVA GENERATOR"/>
        <s v="PHC OFFICE CAT 350KVA GENERATOR"/>
        <s v="AK UYO PERKINS 100KVA GENERATOR"/>
        <s v="CHAIRMAN'S PERKINS 47KVA GENERATOR"/>
        <s v="CHAIRMAN'S PERKINS 30KVA GENERATOR"/>
        <s v="WOJI YARD FG WILSON 40KVA GENERATOR"/>
        <s v="DGS MIKANO 50KVA GENERATOR"/>
        <s v="AK UYO MARAPCO 100KVA GENERATOR"/>
        <s v="CHAIRMAN'S MIKANO 50KVA GENERATOR"/>
        <s v="PHC OFFICE CUMMINS 275KVA GENERATOR"/>
        <s v=""/>
        <s v="DR FG WILSON 150KVA GENERATOR"/>
        <m u="1"/>
        <s v="REWINDING OF DGS 50KVA ALTERNATOR ( AC ) CASH EXPENSE FOR #250,000. BALANCE OF #300,000 WILL BE PAID AFTER THE WORK IS COMPLETE" u="1"/>
        <s v="CHAIRMAN'S PERKINS 40KVA GENERATOR" u="1"/>
        <s v="LAGOS OFFICE CUMMINS 135KVA GENERATOR" u="1"/>
        <s v="LAGOS OFFICE PERKINS 100KVA GENERATOR" u="1"/>
        <s v="TOMY PERKINS 40KVA GENERATOR" u="1"/>
        <s v="TOMY PERKINS 80KVA GENERATOR" u="1"/>
        <e v="#N/A" u="1"/>
        <s v="RADIAROR SENSOR" u="1"/>
        <s v="DGS PERKINS 50KVA GENERATOR" u="1"/>
        <s v="This generator is due for servicing" u="1"/>
        <s v="GML M SALEH 50KVA GENERATOR" u="1"/>
      </sharedItems>
    </cacheField>
    <cacheField name="DESCRIPTION OF REQUEST" numFmtId="0">
      <sharedItems containsBlank="1"/>
    </cacheField>
    <cacheField name="GENERATOR RUNNING HOURS" numFmtId="0">
      <sharedItems containsBlank="1" containsMixedTypes="1" containsNumber="1" containsInteger="1" minValue="9779" maxValue="35287"/>
    </cacheField>
    <cacheField name="NEXT SERVICE HOUR" numFmtId="0">
      <sharedItems containsBlank="1" containsMixedTypes="1" containsNumber="1" containsInteger="1" minValue="1514" maxValue="30502"/>
    </cacheField>
    <cacheField name="DESCRIPTION OF WORK DONE" numFmtId="0">
      <sharedItems containsBlank="1"/>
    </cacheField>
    <cacheField name="PARTS SUPPLIED BY" numFmtId="0">
      <sharedItems containsBlank="1"/>
    </cacheField>
    <cacheField name="WORK DONE BY" numFmtId="0">
      <sharedItems containsBlank="1"/>
    </cacheField>
    <cacheField name="STATUS OF WORK" numFmtId="0">
      <sharedItems containsBlank="1"/>
    </cacheField>
    <cacheField name="DATE COMPLETED" numFmtId="166">
      <sharedItems containsNonDate="0" containsDate="1" containsString="0" containsBlank="1" minDate="2026-01-05T00:00:00" maxDate="2026-05-13T00:00:00"/>
    </cacheField>
    <cacheField name="SPARES COST" numFmtId="164">
      <sharedItems containsString="0" containsBlank="1" containsNumber="1" minValue="12000" maxValue="782520"/>
    </cacheField>
    <cacheField name="JUSTIFICATION / EVALUATION" numFmtId="164">
      <sharedItems containsBlank="1"/>
    </cacheField>
  </cacheFields>
  <extLst>
    <ext uri="{725AE2AE-9491-48be-B2B4-4EB974FC3084}">
      <ns4:pivotCacheDefinition pivotCacheId="243420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r>
    <x v="0"/>
    <x v="0"/>
    <m/>
    <m/>
    <s v=""/>
    <m/>
    <x v="0"/>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r>
    <x v="0"/>
    <x v="0"/>
    <m/>
    <m/>
    <s v=""/>
    <x v="0"/>
    <m/>
    <x v="0"/>
    <s v=""/>
    <m/>
    <m/>
    <m/>
    <m/>
    <m/>
    <m/>
    <m/>
    <m/>
    <s v=""/>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d v="2026-01-05T00:00:00"/>
    <s v="Simon Fearnot"/>
    <s v="E/26/001"/>
    <s v="Closed"/>
    <s v="DR"/>
    <x v="0"/>
    <n v="6660003188"/>
    <x v="0"/>
    <s v="This generator is due for servicing "/>
    <n v="13602"/>
    <n v="13852"/>
    <s v="Water separator filter DAHL151, fuelfilter fleetguard ff5580, fuel/water separator filter fleetguard fs19732, oilfilter fleetguard LF9009 and 35litres of Total engine oil 15W-40"/>
    <s v="Wojishop"/>
    <s v="Simon Fearnot"/>
    <s v="Completed"/>
    <d v="2026-01-05T00:00:00"/>
    <n v="117577"/>
    <s v=" 250 running hours service required as per OEM requirement "/>
  </r>
  <r>
    <x v="0"/>
    <d v="2026-01-05T00:00:00"/>
    <s v="Simon Fearnot"/>
    <s v="E/26/002"/>
    <s v="Closed"/>
    <s v="OFFICE"/>
    <x v="1"/>
    <n v="6660002135"/>
    <x v="1"/>
    <s v="The generator short down"/>
    <n v="16064"/>
    <n v="16201"/>
    <s v="Fuelfilter cat IR-0749 and water separator filter, DAHL151 were replaced. The radiator was also flushed Okay. "/>
    <s v="Wojishop"/>
    <s v="Simon Fearnot"/>
    <s v="Completed"/>
    <d v="2026-01-05T00:00:00"/>
    <n v="782520"/>
    <s v=" 250 running hours service required as per OEM requirement "/>
  </r>
  <r>
    <x v="0"/>
    <d v="2026-01-15T00:00:00"/>
    <s v="Henry Olise"/>
    <s v="E/26/003"/>
    <s v="Closed"/>
    <s v="MD"/>
    <x v="2"/>
    <s v="MDYO100"/>
    <x v="2"/>
    <s v="Servicing of two of 100kva generator"/>
    <s v="3206 &amp; 1237"/>
    <m/>
    <s v="Replacement of filters and fuel ( fuel filters, oil filtes woyting of radiator, labour and large 40ltrs )"/>
    <s v="Third Party"/>
    <s v="Third Party"/>
    <s v="Completed"/>
    <d v="2026-01-15T00:00:00"/>
    <n v="302488"/>
    <s v=" 250 running hours service required as per OEM requirement "/>
  </r>
  <r>
    <x v="0"/>
    <d v="2026-01-15T00:00:00"/>
    <s v="Henry Olise"/>
    <s v="E/26/004"/>
    <s v="Closed"/>
    <s v="Chairman"/>
    <x v="2"/>
    <s v="CHRM47"/>
    <x v="3"/>
    <s v="Servicing of 47kva generator"/>
    <n v="35287"/>
    <m/>
    <s v="Filter replacement and Engine oil ( Fuel filter, Oil filter Radiator cleaning sump gasket and Labour change 10ltrs )"/>
    <s v="Third Party"/>
    <s v="Third Party"/>
    <s v="Completed"/>
    <d v="2026-01-15T00:00:00"/>
    <n v="98122"/>
    <s v=" 250 running hours service required as per OEM requirement "/>
  </r>
  <r>
    <x v="0"/>
    <d v="2026-01-20T00:00:00"/>
    <s v="Henry Olise"/>
    <m/>
    <s v="Closed"/>
    <s v="Chairman"/>
    <x v="2"/>
    <s v="Chairman"/>
    <x v="4"/>
    <s v="This generator has been done Okay for the overhanling "/>
    <m/>
    <m/>
    <s v="The generator is working well now"/>
    <s v="Third Party"/>
    <s v="Third Party"/>
    <s v="Completed"/>
    <d v="2026-01-20T00:00:00"/>
    <m/>
    <m/>
  </r>
  <r>
    <x v="0"/>
    <d v="2026-01-26T00:00:00"/>
    <s v="Simon Fearnot"/>
    <m/>
    <s v="Closed"/>
    <s v="WOJI"/>
    <x v="3"/>
    <n v="6660000017"/>
    <x v="5"/>
    <s v="This generator is due for servicing "/>
    <n v="10780"/>
    <n v="11030"/>
    <s v="Oilfilter perkins 2654403, fuelfilter perkins 26561117, water separator filter 2010, 15litres of Total engine oil 15w-40 and crankshaft front oil seal 2418f437"/>
    <s v="Wojishop"/>
    <s v="Simon Fearnot"/>
    <s v="Completed"/>
    <d v="2026-01-26T00:00:00"/>
    <m/>
    <s v=" 250 running hours service required as per OEM requirement "/>
  </r>
  <r>
    <x v="1"/>
    <d v="2026-02-09T00:00:00"/>
    <s v="Simon Fearnot"/>
    <m/>
    <s v="Closed"/>
    <s v="DGS"/>
    <x v="4"/>
    <n v="6660003092"/>
    <x v="6"/>
    <s v="This generator is due for servicing "/>
    <n v="29708"/>
    <n v="29958"/>
    <s v="Oilfilter perkins 2654403, fuelfilter perkins 4461492, water separator filter 2010, 10litres of Total engine oil 15w-40, Airfilter perkins 26510337, 10litres of Radiator coolant and the Radiator was removed, finished of fixed it back."/>
    <s v="Wojishop"/>
    <s v="Simon Fearnot"/>
    <s v="Completed"/>
    <d v="2026-02-09T00:00:00"/>
    <n v="140195.9"/>
    <s v=" 250 running hours service required as per OEM requirement "/>
  </r>
  <r>
    <x v="1"/>
    <d v="2026-02-23T00:00:00"/>
    <s v="Isaac"/>
    <m/>
    <s v="Closed"/>
    <s v="MD"/>
    <x v="2"/>
    <n v="6660003658"/>
    <x v="7"/>
    <s v="Damayed lift pump"/>
    <m/>
    <m/>
    <s v="Replacement of lift pump &amp; Labour / transport "/>
    <s v="Third Party"/>
    <s v="Third Party"/>
    <s v="Completed"/>
    <d v="2026-02-23T00:00:00"/>
    <n v="54360"/>
    <s v=" 250 running hours service required as per OEM requirement "/>
  </r>
  <r>
    <x v="1"/>
    <d v="2026-02-23T00:00:00"/>
    <s v="Uyobong"/>
    <m/>
    <s v="Closed"/>
    <s v="Chairman"/>
    <x v="2"/>
    <n v="6660003093"/>
    <x v="8"/>
    <s v="Failed charging system"/>
    <m/>
    <m/>
    <s v="Rapair of charging alterator"/>
    <s v="Third Party"/>
    <s v="Third Party"/>
    <s v="Completed"/>
    <d v="2026-02-23T00:00:00"/>
    <n v="12000"/>
    <s v=" 250 running hours service required as per OEM requirement "/>
  </r>
  <r>
    <x v="1"/>
    <d v="2026-02-25T00:00:00"/>
    <s v="Ibrahim Touma"/>
    <m/>
    <s v="Closed"/>
    <s v="OFFICE"/>
    <x v="1"/>
    <n v="6660003189"/>
    <x v="9"/>
    <s v="This generator is due for servicing "/>
    <n v="9779"/>
    <n v="10029"/>
    <s v="Oilfilter fleetguard lf909, water separator filter DAHL-151, fuel / water separator filter fleetguard fs19732, fuelflter fleetguard ff5580 and 35litres of Total engine oil 15w-40 were replaced"/>
    <s v="Wojishop"/>
    <s v="Simon Fearnot"/>
    <s v="Completed"/>
    <d v="2026-02-25T00:00:00"/>
    <m/>
    <s v=" 250 running hours service required as per OEM requirement "/>
  </r>
  <r>
    <x v="2"/>
    <d v="2026-03-03T00:00:00"/>
    <s v="Ibrahim Touma"/>
    <m/>
    <s v="Closed"/>
    <s v="DGS"/>
    <x v="4"/>
    <n v="6660003092"/>
    <x v="6"/>
    <s v="This generator is due for servicing "/>
    <n v="29966"/>
    <n v="30216"/>
    <s v="Oilfilter perkins 265440, fuelfilter perkins 4461492, water separator filter 2010 and 10litres of Total engine oil 15w-40 were replaced"/>
    <s v="Wojishop"/>
    <s v="Simon Fearnot"/>
    <s v="Completed"/>
    <d v="2026-03-03T00:00:00"/>
    <m/>
    <m/>
  </r>
  <r>
    <x v="2"/>
    <d v="2026-03-09T00:00:00"/>
    <s v="Henry Olise"/>
    <m/>
    <s v="Closed"/>
    <s v="Chairman"/>
    <x v="2"/>
    <n v="6660003093"/>
    <x v="8"/>
    <s v="Servicing of 50kva generaor"/>
    <n v="14764"/>
    <n v="1514"/>
    <s v="Replacement of oil and filters ( normal servicing and logistc, labour ) 2 gallons of oil, 1pc of fuel filter and ipc oil filter "/>
    <s v="Third Party"/>
    <s v="Third Party"/>
    <s v="Completed"/>
    <d v="2026-03-09T00:00:00"/>
    <n v="148000"/>
    <s v=" 250 running hours service required as per OEM requirement "/>
  </r>
  <r>
    <x v="2"/>
    <d v="2026-03-09T00:00:00"/>
    <s v="Prince Obinna"/>
    <m/>
    <s v="Closed"/>
    <s v="Chairman"/>
    <x v="2"/>
    <n v="6660003093"/>
    <x v="8"/>
    <s v="Generator shurtdown and indicate low oil pressure"/>
    <n v="14731"/>
    <m/>
    <s v="Faulty oil switch was replace ( 1Pc of oil sensor )"/>
    <s v="Third Party"/>
    <s v="Third Party"/>
    <s v="Completed"/>
    <d v="2026-03-09T00:00:00"/>
    <n v="14000"/>
    <s v=" 250 running hours service required as per OEM requirement "/>
  </r>
  <r>
    <x v="2"/>
    <d v="2026-03-09T00:00:00"/>
    <s v="Ibrahim Touma"/>
    <m/>
    <s v="Closed"/>
    <s v="OFFICE"/>
    <x v="1"/>
    <n v="6660000017"/>
    <x v="5"/>
    <s v="This generator shut-down due to low pressure"/>
    <n v="16317"/>
    <n v="16414"/>
    <s v="Fuelfilter Cat IR-0749, fuel/water separator filter Cat 326-1641, water separator filter DAHL151 and 5litres of Cat engine oil 15W-40 for topping. "/>
    <s v="Wojishop"/>
    <s v="Simon Fearnot"/>
    <s v="Completed"/>
    <d v="2026-03-09T00:00:00"/>
    <m/>
    <s v=" 250 running hours service required as per OEM requirement "/>
  </r>
  <r>
    <x v="2"/>
    <d v="2026-03-12T00:00:00"/>
    <s v="Ibrahim Touma"/>
    <m/>
    <s v="Closed"/>
    <s v="DR"/>
    <x v="0"/>
    <n v="6660003188"/>
    <x v="0"/>
    <s v="This generator is due for servicing "/>
    <n v="13856"/>
    <n v="14106"/>
    <s v="35Litres of Total engine oil 15w-40, fuelfilter fleetguard ff5580, fuel/water separator filter DAHL151, one (1) set of battery terminal oilfilter fleltguard lf 9009 klin detergent 170g"/>
    <s v="Wojishop"/>
    <s v="Simon Fearnot"/>
    <s v="Completed"/>
    <d v="2026-03-12T00:00:00"/>
    <m/>
    <s v=" 250 running hours service required as per OEM requirement "/>
  </r>
  <r>
    <x v="2"/>
    <d v="2026-03-12T00:00:00"/>
    <s v="Ibrahim Touma"/>
    <m/>
    <s v="Closed"/>
    <s v="OFFICE"/>
    <x v="1"/>
    <n v="6660002135"/>
    <x v="1"/>
    <s v="Due to low oil pressure"/>
    <n v="16342"/>
    <n v="16592"/>
    <s v="50Litres of Cat engine oil 15W-40 and oilfilter IR-1808 were replaced"/>
    <s v="Wojishop"/>
    <s v="Simon Fearnot"/>
    <s v="Completed"/>
    <d v="2026-03-12T00:00:00"/>
    <m/>
    <s v=" 250 running hours service required as per OEM requirement "/>
  </r>
  <r>
    <x v="2"/>
    <d v="2026-03-17T00:00:00"/>
    <s v="Ibrahim Touma"/>
    <m/>
    <s v="Closed"/>
    <s v="OFFICE"/>
    <x v="1"/>
    <n v="6660002135"/>
    <x v="1"/>
    <s v="Due to the engine temperature"/>
    <n v="16360"/>
    <n v="16592"/>
    <s v="The radiator was removed, washed and fixed it back. The radiator hose was replaced and 25litres of radiator coolant were pour inside the radiator"/>
    <s v="Wojishop"/>
    <s v="Simon Fearnot"/>
    <s v="Completed"/>
    <d v="2026-03-17T00:00:00"/>
    <m/>
    <s v=" 250 running hours service required as per OEM requirement "/>
  </r>
  <r>
    <x v="2"/>
    <d v="2026-03-23T00:00:00"/>
    <s v="Ibrahim Touma"/>
    <m/>
    <s v="Closed"/>
    <s v="WOJI"/>
    <x v="3"/>
    <n v="6660000017"/>
    <x v="5"/>
    <s v="This generator is due for servicing "/>
    <n v="11046"/>
    <n v="11296"/>
    <s v="Oilfilter 2654403, fuelfilter 26561117, water separator filter 2010 and 15litres of Total engine oil 15w-40 were replaced."/>
    <s v="Wojishop"/>
    <s v="Simon Fearnot"/>
    <s v="Completed"/>
    <d v="2026-03-23T00:00:00"/>
    <m/>
    <s v=" 250 running hours service required as per OEM requirement "/>
  </r>
  <r>
    <x v="2"/>
    <d v="2026-03-25T00:00:00"/>
    <s v="Ibrahim Touma"/>
    <m/>
    <s v="Closed"/>
    <s v="DGS"/>
    <x v="4"/>
    <n v="6660003092"/>
    <x v="6"/>
    <s v="This generator is due for servicing "/>
    <n v="30252"/>
    <n v="30502"/>
    <s v="Oilfilter perkins 2654403,  fuelfilter perkins 4461492, water separator filter 2010 and 10litres of Total engine oil 15w-40 were replaced "/>
    <s v="Wojishop"/>
    <s v="Simon Fearnot"/>
    <s v="Completed"/>
    <d v="2026-03-25T00:00:00"/>
    <m/>
    <s v=" 250 running hours service required as per OEM requirement "/>
  </r>
  <r>
    <x v="2"/>
    <d v="2026-03-31T00:00:00"/>
    <s v="Ibrahim Touma"/>
    <m/>
    <s v="Open"/>
    <s v="GML"/>
    <x v="5"/>
    <m/>
    <x v="10"/>
    <s v="This generator is due for servicing "/>
    <m/>
    <m/>
    <m/>
    <m/>
    <m/>
    <s v="Pending"/>
    <m/>
    <m/>
    <m/>
  </r>
  <r>
    <x v="3"/>
    <d v="2026-04-15T00:00:00"/>
    <s v="Simon Fearnot"/>
    <m/>
    <s v="Closed"/>
    <s v="WOJI"/>
    <x v="3"/>
    <n v="6660000017"/>
    <x v="5"/>
    <s v="This generator is consuming excess"/>
    <n v="11238"/>
    <n v="11296"/>
    <s v="5 litres of Total engine oil 15W-40 were collected for topping of the 40KVA perkins generator carried out at woji-office"/>
    <s v="Wojishop"/>
    <s v="Simon Fearnot"/>
    <s v="Completed"/>
    <d v="2026-04-15T00:00:00"/>
    <m/>
    <s v=" 250 running hours service required as per OEM requirement "/>
  </r>
  <r>
    <x v="3"/>
    <d v="2026-04-18T00:00:00"/>
    <s v="Ibrahim Touma"/>
    <m/>
    <s v="Closed"/>
    <s v="DR"/>
    <x v="0"/>
    <n v="6660003188"/>
    <x v="0"/>
    <s v="This generator is due for servicing "/>
    <n v="14109"/>
    <n v="14359"/>
    <s v="Fuelfilter fleetguard FF5580, fuel/water separator filter fleetguard FS19732, 35litres of Total engine oil 15W-40 and oilfilter fleetguard LF9009 were replaced"/>
    <s v="Wojishop"/>
    <s v="Simon Fearnot"/>
    <s v="Completed"/>
    <d v="2026-04-18T00:00:00"/>
    <m/>
    <s v=" 250 running hours service required as per OEM requirement "/>
  </r>
  <r>
    <x v="3"/>
    <d v="2026-04-18T00:00:00"/>
    <s v="Ibrahim Touma"/>
    <m/>
    <s v="Closed"/>
    <s v="OFFICE"/>
    <x v="1"/>
    <n v="6660003189"/>
    <x v="9"/>
    <s v="This generator is due for servicing "/>
    <n v="10072"/>
    <n v="10322"/>
    <s v="Fuelfilter fleetguard FF6580, fuel/water separator filter fleetguard FS19732, water separator filter DAHL151, oilfilter fleetguard LF9009 and 35litres of Total engine oil 15W-40 were replaced"/>
    <s v="Wojishop"/>
    <s v="Simon Fearnot"/>
    <s v="Completed"/>
    <d v="2026-04-18T00:00:00"/>
    <m/>
    <s v=" 250 running hours service required as per OEM requirement "/>
  </r>
  <r>
    <x v="3"/>
    <d v="2026-04-20T00:00:00"/>
    <s v="Ibrahim Touma"/>
    <m/>
    <s v="Closed"/>
    <s v="DGS"/>
    <x v="4"/>
    <n v="6660003092"/>
    <x v="6"/>
    <s v="This generator is due for servicing "/>
    <s v="30513"/>
    <s v="30763"/>
    <s v="Oilfilter perkins 2654403, fuelfilter perkins 4461492, water separator filter 2010 and 10litres of Total engine oil 15W-40 were replaced"/>
    <s v="Wojishop"/>
    <s v="Simon Fearnot"/>
    <s v="Completed"/>
    <d v="2026-04-20T00:00:00"/>
    <m/>
    <s v=" 250 running hours service required as per OEM requirement "/>
  </r>
  <r>
    <x v="3"/>
    <d v="2026-04-20T00:00:00"/>
    <s v="Ibrahim Touma"/>
    <m/>
    <s v="Closed"/>
    <s v="WOJI"/>
    <x v="3"/>
    <n v="6660000017"/>
    <x v="5"/>
    <s v="This generator is due for servicing "/>
    <n v="11304"/>
    <n v="11554"/>
    <s v="Oilfilter perkins 2654403, fuelfilter perkins 26561117, water separator filter 2010, and 15litres of Total engine oil 15W-40 were replaced"/>
    <s v="Wojishop"/>
    <s v="Simon Fearnot"/>
    <s v="Completed"/>
    <d v="2026-04-20T00:00:00"/>
    <m/>
    <s v=" 250 running hours service required as per OEM requirement "/>
  </r>
  <r>
    <x v="4"/>
    <d v="2026-05-04T00:00:00"/>
    <s v="Ibrahim Touma"/>
    <m/>
    <s v="Closed"/>
    <s v="WOJI"/>
    <x v="3"/>
    <n v="6660000017"/>
    <x v="5"/>
    <s v="This generator is due for servicing "/>
    <n v="11536"/>
    <n v="11786"/>
    <s v="Oilfilter perkins 2654403, fuelfilter perkins 26561117, water seoarator filter 2010, Airfilter 26510342 and 15litres of Total engine oil 15litres were replaced. "/>
    <s v="Wojishop"/>
    <s v="Simon Fearnot"/>
    <s v="Completed"/>
    <d v="2026-05-04T00:00:00"/>
    <m/>
    <s v=" 250 running hours service required as per OEM requirement "/>
  </r>
  <r>
    <x v="4"/>
    <d v="2026-05-06T00:00:00"/>
    <s v="Prince Obinna"/>
    <m/>
    <s v="Closed"/>
    <s v="DR"/>
    <x v="0"/>
    <n v="6660003092"/>
    <x v="6"/>
    <s v="Fauulty charging system"/>
    <m/>
    <m/>
    <s v="Repair/servicing of charging alternation"/>
    <s v="Wojishop"/>
    <s v="Simon Fearnot"/>
    <s v="Completed"/>
    <d v="2026-05-06T00:00:00"/>
    <n v="17000"/>
    <s v=" 250 running hours service required as per OEM requirement "/>
  </r>
  <r>
    <x v="4"/>
    <d v="2026-05-06T00:00:00"/>
    <s v="Ibrahim Touma"/>
    <m/>
    <s v="Closed"/>
    <s v="OFFICE"/>
    <x v="1"/>
    <m/>
    <x v="10"/>
    <s v="Electrical issue at CAT generator"/>
    <m/>
    <m/>
    <s v="Electrical issue at CAT generator"/>
    <s v="Wojishop"/>
    <s v="Simon Fearnot"/>
    <s v="Completed"/>
    <d v="2026-05-06T00:00:00"/>
    <m/>
    <m/>
  </r>
  <r>
    <x v="4"/>
    <d v="2026-05-12T00:00:00"/>
    <s v="Ibrahim Touma"/>
    <m/>
    <s v="Closed"/>
    <s v="OFFICE"/>
    <x v="1"/>
    <n v="6660002135"/>
    <x v="1"/>
    <s v="For new battery"/>
    <m/>
    <m/>
    <s v="Purchase of new battery"/>
    <s v="Wojishop"/>
    <s v="Simon Fearnot"/>
    <s v="Completed"/>
    <d v="2026-05-12T00:00:00"/>
    <m/>
    <m/>
  </r>
  <r>
    <x v="4"/>
    <d v="2026-05-12T00:00:00"/>
    <s v="Ibrahim Touma"/>
    <m/>
    <s v="Closed"/>
    <s v="DR"/>
    <x v="0"/>
    <n v="6660024031"/>
    <x v="11"/>
    <s v="For new battery"/>
    <m/>
    <m/>
    <s v="Purchase of new battery"/>
    <s v="Wojishop"/>
    <s v="Simon Fearnot"/>
    <s v="Completed"/>
    <d v="2026-05-12T00:00:00"/>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r>
    <x v="5"/>
    <m/>
    <m/>
    <m/>
    <s v=""/>
    <m/>
    <x v="2"/>
    <m/>
    <x v="10"/>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250F6-EA36-4BB3-9826-08F1E675F5A6}" name="PivotTable1" cacheId="20" applyNumberFormats="0" applyBorderFormats="0" applyFontFormats="0" applyPatternFormats="0" applyAlignmentFormats="0" applyWidthHeightFormats="1" dataCaption="Values" updatedVersion="7" minRefreshableVersion="3" itemPrintTitles="1" createdVersion="8" indent="0" outline="1" outlineData="1" multipleFieldFilters="0" rowHeaderCaption="END USER">
  <location ref="A8:B15" firstHeaderRow="1" firstDataRow="1" firstDataCol="1"/>
  <pivotFields count="19">
    <pivotField showAll="0"/>
    <pivotField numFmtId="166" showAll="0"/>
    <pivotField showAll="0"/>
    <pivotField showAll="0"/>
    <pivotField showAll="0"/>
    <pivotField showAll="0"/>
    <pivotField axis="axisRow" showAll="0">
      <items count="14">
        <item x="0"/>
        <item x="3"/>
        <item m="1" x="9"/>
        <item m="1" x="7"/>
        <item x="1"/>
        <item x="4"/>
        <item x="2"/>
        <item x="5"/>
        <item m="1" x="11"/>
        <item m="1" x="6"/>
        <item m="1" x="8"/>
        <item m="1" x="10"/>
        <item m="1" x="12"/>
        <item t="default"/>
      </items>
    </pivotField>
    <pivotField showAll="0"/>
    <pivotField showAll="0"/>
    <pivotField showAll="0"/>
    <pivotField showAll="0"/>
    <pivotField showAll="0"/>
    <pivotField showAll="0"/>
    <pivotField showAll="0"/>
    <pivotField showAll="0"/>
    <pivotField showAll="0"/>
    <pivotField numFmtId="166" showAll="0"/>
    <pivotField dataField="1" numFmtId="164" showAll="0"/>
    <pivotField showAll="0"/>
  </pivotFields>
  <rowFields count="1">
    <field x="6"/>
  </rowFields>
  <rowItems count="7">
    <i>
      <x/>
    </i>
    <i>
      <x v="1"/>
    </i>
    <i>
      <x v="4"/>
    </i>
    <i>
      <x v="5"/>
    </i>
    <i>
      <x v="6"/>
    </i>
    <i>
      <x v="7"/>
    </i>
    <i t="grand">
      <x/>
    </i>
  </rowItems>
  <colItems count="1">
    <i/>
  </colItems>
  <dataFields count="1">
    <dataField name="MAINTENANCE COST" fld="17" baseField="0" baseItem="0" numFmtId="164"/>
  </dataFields>
  <formats count="7">
    <format dxfId="89">
      <pivotArea outline="0" collapsedLevelsAreSubtotals="1" fieldPosition="0"/>
    </format>
    <format dxfId="88">
      <pivotArea type="all" dataOnly="0" outline="0" fieldPosition="0"/>
    </format>
    <format dxfId="87">
      <pivotArea outline="0" collapsedLevelsAreSubtotals="1" fieldPosition="0"/>
    </format>
    <format dxfId="86">
      <pivotArea field="6" type="button" dataOnly="0" labelOnly="1" outline="0" axis="axisRow" fieldPosition="0"/>
    </format>
    <format dxfId="85">
      <pivotArea dataOnly="0" labelOnly="1" fieldPosition="0">
        <references count="1">
          <reference field="6" count="0"/>
        </references>
      </pivotArea>
    </format>
    <format dxfId="84">
      <pivotArea dataOnly="0" labelOnly="1" grandRow="1" outline="0"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7BBC0-0A82-443F-92DE-1EF825B26441}"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8:E169" firstHeaderRow="1" firstDataRow="1" firstDataCol="1"/>
  <pivotFields count="20">
    <pivotField showAll="0"/>
    <pivotField numFmtId="15" showAll="0"/>
    <pivotField showAll="0"/>
    <pivotField showAll="0"/>
    <pivotField showAll="0"/>
    <pivotField axis="axisRow" showAll="0">
      <items count="7">
        <item h="1" f="1" x="5"/>
        <item m="1" x="2"/>
        <item m="1" x="1"/>
        <item m="1" x="3"/>
        <item m="1" x="4"/>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1">
    <i t="grand">
      <x/>
    </i>
  </rowItems>
  <colItems count="1">
    <i/>
  </colItems>
  <dataFields count="1">
    <dataField name="MAINTENANCE COST" fld="18" baseField="5"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536464-F694-42A2-81C7-53EFBCEDCFA9}" name="PivotTable6"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VEHICLE DESCRIPTION">
  <location ref="J51:K53" firstHeaderRow="1" firstDataRow="1" firstDataCol="1"/>
  <pivotFields count="20">
    <pivotField showAll="0"/>
    <pivotField numFmtId="15" showAll="0">
      <items count="141">
        <item m="1" x="12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1"/>
        <item m="1" x="112"/>
        <item m="1" x="113"/>
        <item m="1" x="114"/>
        <item m="1" x="115"/>
        <item m="1" x="116"/>
        <item m="1" x="117"/>
        <item m="1" x="118"/>
        <item m="1" x="119"/>
        <item m="1" x="110"/>
        <item m="1" x="121"/>
        <item m="1" x="122"/>
        <item m="1" x="123"/>
        <item m="1" x="124"/>
        <item m="1" x="125"/>
        <item m="1" x="126"/>
        <item m="1" x="127"/>
        <item m="1" x="128"/>
        <item m="1" x="129"/>
        <item m="1" x="130"/>
        <item m="1" x="131"/>
        <item m="1" x="132"/>
        <item m="1" x="133"/>
        <item m="1" x="134"/>
        <item m="1" x="135"/>
        <item m="1" x="136"/>
        <item m="1" x="137"/>
        <item m="1" x="138"/>
        <item m="1" x="139"/>
        <item x="0"/>
        <item t="default"/>
      </items>
    </pivotField>
    <pivotField showAll="0"/>
    <pivotField showAll="0"/>
    <pivotField showAll="0"/>
    <pivotField showAll="0">
      <items count="7">
        <item m="1" x="3"/>
        <item m="1" x="2"/>
        <item m="1" x="1"/>
        <item f="1" x="5"/>
        <item m="1" x="4"/>
        <item x="0"/>
        <item t="default"/>
      </items>
    </pivotField>
    <pivotField showAll="0"/>
    <pivotField axis="axisRow" showAll="0">
      <items count="3">
        <item m="1" x="1"/>
        <item x="0"/>
        <item t="default"/>
      </items>
    </pivotField>
    <pivotField showAll="0"/>
    <pivotField showAll="0"/>
    <pivotField showAll="0"/>
    <pivotField showAll="0"/>
    <pivotField showAll="0"/>
    <pivotField showAll="0"/>
    <pivotField showAll="0"/>
    <pivotField showAll="0"/>
    <pivotField numFmtId="15" showAll="0"/>
    <pivotField showAll="0"/>
    <pivotField dataField="1" numFmtId="164" showAll="0"/>
    <pivotField showAll="0"/>
  </pivotFields>
  <rowFields count="1">
    <field x="7"/>
  </rowFields>
  <rowItems count="2">
    <i>
      <x v="1"/>
    </i>
    <i t="grand">
      <x/>
    </i>
  </rowItems>
  <colItems count="1">
    <i/>
  </colItems>
  <dataFields count="1">
    <dataField name="MAINTENANCE COST" fld="18" baseField="0" baseItem="0" numFmtId="164"/>
  </dataFields>
  <formats count="8">
    <format dxfId="97">
      <pivotArea outline="0" collapsedLevelsAreSubtotals="1"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7" type="button" dataOnly="0" labelOnly="1" outline="0" axis="axisRow" fieldPosition="0"/>
    </format>
    <format dxfId="92">
      <pivotArea dataOnly="0" labelOnly="1" fieldPosition="0">
        <references count="1">
          <reference field="7" count="0"/>
        </references>
      </pivotArea>
    </format>
    <format dxfId="91">
      <pivotArea dataOnly="0" labelOnly="1" grandRow="1" outline="0"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CB9DE4-B13B-4866-A596-246A04E07ECE}" name="PivotTable5"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location ref="J27:K29" firstHeaderRow="1" firstDataRow="1" firstDataCol="1"/>
  <pivotFields count="20">
    <pivotField axis="axisRow" showAll="0">
      <items count="13">
        <item m="1" x="1"/>
        <item m="1" x="2"/>
        <item m="1" x="3"/>
        <item m="1" x="4"/>
        <item m="1" x="5"/>
        <item m="1" x="6"/>
        <item m="1" x="7"/>
        <item m="1" x="8"/>
        <item m="1" x="9"/>
        <item m="1" x="10"/>
        <item m="1" x="11"/>
        <item x="0"/>
        <item t="default"/>
      </items>
    </pivotField>
    <pivotField numFmtId="15" showAll="0"/>
    <pivotField showAll="0"/>
    <pivotField showAll="0"/>
    <pivotField showAll="0"/>
    <pivotField showAll="0">
      <items count="7">
        <item m="1" x="3"/>
        <item m="1" x="2"/>
        <item m="1" x="1"/>
        <item f="1" x="5"/>
        <item m="1" x="4"/>
        <item x="0"/>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dataField="1" numFmtId="164" showAll="0"/>
    <pivotField showAll="0"/>
  </pivotFields>
  <rowFields count="1">
    <field x="0"/>
  </rowFields>
  <rowItems count="2">
    <i>
      <x v="11"/>
    </i>
    <i t="grand">
      <x/>
    </i>
  </rowItems>
  <colItems count="1">
    <i/>
  </colItems>
  <dataFields count="1">
    <dataField name="MAINTENANCE COST" fld="18" baseField="0" baseItem="0" numFmtId="164"/>
  </dataFields>
  <formats count="7">
    <format dxfId="104">
      <pivotArea outline="0" collapsedLevelsAreSubtotals="1" fieldPosition="0"/>
    </format>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CCF3F2-442A-4A74-B12E-C095A604DF15}" name="PivotTable9"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ND USER">
  <location ref="X73:Y75" firstHeaderRow="1" firstDataRow="1" firstDataCol="1"/>
  <pivotFields count="14">
    <pivotField showAll="0"/>
    <pivotField numFmtId="166" showAll="0"/>
    <pivotField showAll="0"/>
    <pivotField showAll="0"/>
    <pivotField showAll="0"/>
    <pivotField showAll="0"/>
    <pivotField axis="axisRow" showAll="0">
      <items count="17">
        <item m="1" x="3"/>
        <item m="1" x="4"/>
        <item x="0"/>
        <item m="1" x="1"/>
        <item m="1" x="2"/>
        <item m="1" x="5"/>
        <item m="1" x="13"/>
        <item m="1" x="7"/>
        <item m="1" x="8"/>
        <item m="1" x="9"/>
        <item m="1" x="14"/>
        <item m="1" x="15"/>
        <item m="1" x="6"/>
        <item m="1" x="11"/>
        <item m="1" x="10"/>
        <item m="1" x="12"/>
        <item t="default"/>
      </items>
    </pivotField>
    <pivotField showAll="0"/>
    <pivotField showAll="0"/>
    <pivotField showAll="0"/>
    <pivotField showAll="0"/>
    <pivotField showAll="0"/>
    <pivotField showAll="0"/>
    <pivotField dataField="1" numFmtId="164" showAll="0"/>
  </pivotFields>
  <rowFields count="1">
    <field x="6"/>
  </rowFields>
  <rowItems count="2">
    <i>
      <x v="2"/>
    </i>
    <i t="grand">
      <x/>
    </i>
  </rowItems>
  <colItems count="1">
    <i/>
  </colItems>
  <dataFields count="1">
    <dataField name="MAINTENANCE COST" fld="13" baseField="0" baseItem="0" numFmtId="164"/>
  </dataFields>
  <formats count="8">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6" type="button" dataOnly="0" labelOnly="1" outline="0" axis="axisRow" fieldPosition="0"/>
    </format>
    <format dxfId="107">
      <pivotArea dataOnly="0" labelOnly="1" fieldPosition="0">
        <references count="1">
          <reference field="6" count="0"/>
        </references>
      </pivotArea>
    </format>
    <format dxfId="106">
      <pivotArea dataOnly="0" labelOnly="1" grandRow="1" outline="0"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BC876A-62E0-4364-94D7-3B1273293DB9}" name="PivotTable7"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ND USER">
  <location ref="X8:Y10" firstHeaderRow="1" firstDataRow="1" firstDataCol="1"/>
  <pivotFields count="14">
    <pivotField showAll="0"/>
    <pivotField showAll="0"/>
    <pivotField showAll="0"/>
    <pivotField showAll="0"/>
    <pivotField showAll="0"/>
    <pivotField showAll="0"/>
    <pivotField axis="axisRow" showAll="0">
      <items count="17">
        <item m="1" x="3"/>
        <item m="1" x="4"/>
        <item x="0"/>
        <item m="1" x="1"/>
        <item m="1" x="2"/>
        <item m="1" x="5"/>
        <item m="1" x="13"/>
        <item m="1" x="7"/>
        <item m="1" x="8"/>
        <item m="1" x="9"/>
        <item m="1" x="14"/>
        <item m="1" x="15"/>
        <item m="1" x="6"/>
        <item m="1" x="11"/>
        <item m="1" x="10"/>
        <item m="1" x="12"/>
        <item t="default"/>
      </items>
    </pivotField>
    <pivotField showAll="0"/>
    <pivotField showAll="0"/>
    <pivotField showAll="0"/>
    <pivotField showAll="0"/>
    <pivotField showAll="0"/>
    <pivotField showAll="0"/>
    <pivotField dataField="1" showAll="0"/>
  </pivotFields>
  <rowFields count="1">
    <field x="6"/>
  </rowFields>
  <rowItems count="2">
    <i>
      <x v="2"/>
    </i>
    <i t="grand">
      <x/>
    </i>
  </rowItems>
  <colItems count="1">
    <i/>
  </colItems>
  <dataFields count="1">
    <dataField name="MAINTENANCE COST" fld="13" baseField="0" baseItem="0" numFmtId="164"/>
  </dataFields>
  <formats count="8">
    <format dxfId="120">
      <pivotArea outline="0" collapsedLevelsAreSubtotals="1" fieldPosition="0"/>
    </format>
    <format dxfId="119">
      <pivotArea dataOnly="0" outline="0" axis="axisValues" fieldPosition="0"/>
    </format>
    <format dxfId="118">
      <pivotArea type="all" dataOnly="0" outline="0" fieldPosition="0"/>
    </format>
    <format dxfId="117">
      <pivotArea outline="0" collapsedLevelsAreSubtotals="1" fieldPosition="0"/>
    </format>
    <format dxfId="116">
      <pivotArea field="6" type="button" dataOnly="0" labelOnly="1" outline="0" axis="axisRow" fieldPosition="0"/>
    </format>
    <format dxfId="115">
      <pivotArea dataOnly="0" labelOnly="1" fieldPosition="0">
        <references count="1">
          <reference field="6" count="0"/>
        </references>
      </pivotArea>
    </format>
    <format dxfId="114">
      <pivotArea dataOnly="0" labelOnly="1" grandRow="1" outline="0" fieldPosition="0"/>
    </format>
    <format dxfId="1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7F4B2-9890-477B-814D-1E5179F4252C}" name="PivotTable8"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 MONTHS">
  <location ref="X50:Y52" firstHeaderRow="1" firstDataRow="1" firstDataCol="1"/>
  <pivotFields count="14">
    <pivotField axis="axisRow" showAll="0">
      <items count="13">
        <item m="1" x="1"/>
        <item m="1" x="3"/>
        <item m="1" x="4"/>
        <item m="1" x="5"/>
        <item m="1" x="6"/>
        <item m="1" x="2"/>
        <item m="1" x="7"/>
        <item m="1" x="8"/>
        <item m="1" x="9"/>
        <item m="1" x="10"/>
        <item m="1" x="1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2">
    <i>
      <x v="11"/>
    </i>
    <i t="grand">
      <x/>
    </i>
  </rowItems>
  <colItems count="1">
    <i/>
  </colItems>
  <dataFields count="1">
    <dataField name=" MAINTENANCE COST" fld="13" baseField="0" baseItem="0" numFmtId="4"/>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13DE11-D43D-4CB5-BC8C-A023CA69E163}" name="PivotTable2" cacheId="20" applyNumberFormats="0" applyBorderFormats="0" applyFontFormats="0" applyPatternFormats="0" applyAlignmentFormats="0" applyWidthHeightFormats="1" dataCaption="Values" updatedVersion="7" minRefreshableVersion="3" itemPrintTitles="1" createdVersion="8" indent="0" outline="1" outlineData="1" multipleFieldFilters="0" rowHeaderCaption="MONTH">
  <location ref="A49:B56" firstHeaderRow="1" firstDataRow="1" firstDataCol="1"/>
  <pivotFields count="19">
    <pivotField axis="axisRow" showAll="0">
      <items count="16">
        <item x="0"/>
        <item x="1"/>
        <item x="2"/>
        <item x="3"/>
        <item x="4"/>
        <item m="1" x="6"/>
        <item m="1" x="14"/>
        <item m="1" x="12"/>
        <item m="1" x="11"/>
        <item m="1" x="13"/>
        <item m="1" x="8"/>
        <item m="1" x="10"/>
        <item m="1" x="9"/>
        <item x="5"/>
        <item m="1" x="7"/>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dataField="1" numFmtId="164" showAll="0"/>
    <pivotField showAll="0"/>
  </pivotFields>
  <rowFields count="1">
    <field x="0"/>
  </rowFields>
  <rowItems count="7">
    <i>
      <x/>
    </i>
    <i>
      <x v="1"/>
    </i>
    <i>
      <x v="2"/>
    </i>
    <i>
      <x v="3"/>
    </i>
    <i>
      <x v="4"/>
    </i>
    <i>
      <x v="13"/>
    </i>
    <i t="grand">
      <x/>
    </i>
  </rowItems>
  <colItems count="1">
    <i/>
  </colItems>
  <dataFields count="1">
    <dataField name="MAINTENANCE COST" fld="17" baseField="0" baseItem="0" numFmtId="164"/>
  </dataFields>
  <formats count="7">
    <format dxfId="128">
      <pivotArea outline="0" collapsedLevelsAreSubtotals="1" fieldPosition="0"/>
    </format>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dataOnly="0" labelOnly="1" fieldPosition="0">
        <references count="1">
          <reference field="0" count="0"/>
        </references>
      </pivotArea>
    </format>
    <format dxfId="123">
      <pivotArea dataOnly="0" labelOnly="1" grandRow="1" outline="0" fieldPosition="0"/>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0A2174-3C2D-47F3-A184-381872E1AAEA}" name="PivotTable12" cacheId="2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68:A169" firstHeaderRow="1" firstDataRow="1" firstDataCol="0"/>
  <pivotFields count="19">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MAINTENANCE COST" fld="17" baseField="5"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7EAD5F-EFF4-4C85-9850-9D17CD2454EB}" name="PivotTable3" cacheId="20" applyNumberFormats="0" applyBorderFormats="0" applyFontFormats="0" applyPatternFormats="0" applyAlignmentFormats="0" applyWidthHeightFormats="1" dataCaption="Values" updatedVersion="7" minRefreshableVersion="3" itemPrintTitles="1" createdVersion="8" indent="0" outline="1" outlineData="1" multipleFieldFilters="0" rowHeaderCaption="EQUIPMENT DECRIPTION">
  <location ref="A67:B80" firstHeaderRow="1" firstDataRow="1" firstDataCol="1"/>
  <pivotFields count="19">
    <pivotField showAll="0"/>
    <pivotField numFmtId="166" showAll="0"/>
    <pivotField showAll="0"/>
    <pivotField showAll="0"/>
    <pivotField showAll="0"/>
    <pivotField showAll="0"/>
    <pivotField showAll="0"/>
    <pivotField showAll="0"/>
    <pivotField axis="axisRow" showAll="0">
      <items count="25">
        <item x="6"/>
        <item x="11"/>
        <item x="1"/>
        <item x="5"/>
        <item m="1" x="15"/>
        <item m="1" x="16"/>
        <item m="1" x="18"/>
        <item m="1" x="17"/>
        <item x="0"/>
        <item m="1" x="21"/>
        <item m="1" x="19"/>
        <item m="1" x="23"/>
        <item x="8"/>
        <item x="4"/>
        <item x="2"/>
        <item x="7"/>
        <item m="1" x="14"/>
        <item x="9"/>
        <item x="3"/>
        <item x="10"/>
        <item m="1" x="13"/>
        <item m="1" x="20"/>
        <item m="1" x="22"/>
        <item m="1" x="12"/>
        <item t="default"/>
      </items>
    </pivotField>
    <pivotField showAll="0"/>
    <pivotField showAll="0"/>
    <pivotField showAll="0"/>
    <pivotField showAll="0"/>
    <pivotField showAll="0"/>
    <pivotField showAll="0"/>
    <pivotField showAll="0"/>
    <pivotField numFmtId="166" showAll="0"/>
    <pivotField dataField="1" numFmtId="164" showAll="0"/>
    <pivotField showAll="0"/>
  </pivotFields>
  <rowFields count="1">
    <field x="8"/>
  </rowFields>
  <rowItems count="13">
    <i>
      <x/>
    </i>
    <i>
      <x v="1"/>
    </i>
    <i>
      <x v="2"/>
    </i>
    <i>
      <x v="3"/>
    </i>
    <i>
      <x v="8"/>
    </i>
    <i>
      <x v="12"/>
    </i>
    <i>
      <x v="13"/>
    </i>
    <i>
      <x v="14"/>
    </i>
    <i>
      <x v="15"/>
    </i>
    <i>
      <x v="17"/>
    </i>
    <i>
      <x v="18"/>
    </i>
    <i>
      <x v="19"/>
    </i>
    <i t="grand">
      <x/>
    </i>
  </rowItems>
  <colItems count="1">
    <i/>
  </colItems>
  <dataFields count="1">
    <dataField name="MAINTENANCE COST" fld="17" baseField="0" baseItem="0" numFmtId="164"/>
  </dataFields>
  <formats count="7">
    <format dxfId="135">
      <pivotArea outline="0" collapsedLevelsAreSubtotals="1" fieldPosition="0"/>
    </format>
    <format dxfId="134">
      <pivotArea type="all" dataOnly="0" outline="0" fieldPosition="0"/>
    </format>
    <format dxfId="133">
      <pivotArea outline="0" collapsedLevelsAreSubtotals="1" fieldPosition="0"/>
    </format>
    <format dxfId="132">
      <pivotArea field="8" type="button" dataOnly="0" labelOnly="1" outline="0" axis="axisRow" fieldPosition="0"/>
    </format>
    <format dxfId="131">
      <pivotArea dataOnly="0" labelOnly="1" fieldPosition="0">
        <references count="1">
          <reference field="8" count="0"/>
        </references>
      </pivotArea>
    </format>
    <format dxfId="130">
      <pivotArea dataOnly="0" labelOnly="1" grandRow="1" outline="0" fieldPosition="0"/>
    </format>
    <format dxfId="1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384C42-7059-4B4C-9453-00DF726F8375}" name="PivotTable1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8:G169" firstHeaderRow="1" firstDataRow="1" firstDataCol="0"/>
  <pivotFields count="14">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MAINTENANCE COST" fld="13" baseField="5"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306AF2-1DD0-424A-98F6-E6F8CE10A59D}" name="PivotTable4"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OCATION">
  <location ref="J8:K9" firstHeaderRow="1" firstDataRow="1" firstDataCol="1"/>
  <pivotFields count="20">
    <pivotField showAll="0"/>
    <pivotField numFmtId="15" showAll="0"/>
    <pivotField showAll="0"/>
    <pivotField showAll="0"/>
    <pivotField showAll="0"/>
    <pivotField axis="axisRow" showAll="0">
      <items count="7">
        <item m="1" x="1"/>
        <item m="1" x="2"/>
        <item m="1" x="3"/>
        <item m="1" x="4"/>
        <item h="1" f="1" x="5"/>
        <item h="1" x="0"/>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dataField="1" numFmtId="164" showAll="0"/>
    <pivotField showAll="0"/>
  </pivotFields>
  <rowFields count="1">
    <field x="5"/>
  </rowFields>
  <rowItems count="1">
    <i t="grand">
      <x/>
    </i>
  </rowItems>
  <colItems count="1">
    <i/>
  </colItems>
  <dataFields count="1">
    <dataField name="MAINTENANCE COST" fld="18" baseField="0" baseItem="0" numFmtId="164"/>
  </dataFields>
  <formats count="7">
    <format dxfId="142">
      <pivotArea outline="0" collapsedLevelsAreSubtotals="1" fieldPosition="0"/>
    </format>
    <format dxfId="141">
      <pivotArea type="all" dataOnly="0" outline="0" fieldPosition="0"/>
    </format>
    <format dxfId="140">
      <pivotArea outline="0" collapsedLevelsAreSubtotals="1" fieldPosition="0"/>
    </format>
    <format dxfId="139">
      <pivotArea field="5" type="button" dataOnly="0" labelOnly="1" outline="0" axis="axisRow" fieldPosition="0"/>
    </format>
    <format dxfId="138">
      <pivotArea dataOnly="0" labelOnly="1" fieldPosition="0">
        <references count="1">
          <reference field="5" count="0"/>
        </references>
      </pivotArea>
    </format>
    <format dxfId="137">
      <pivotArea dataOnly="0" labelOnly="1" grandRow="1" outline="0" fieldPosition="0"/>
    </format>
    <format dxfId="1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63F212-D96A-4950-9716-B398D3B0304B}" name="PivotTable2" cacheId="20" applyNumberFormats="0" applyBorderFormats="0" applyFontFormats="0" applyPatternFormats="0" applyAlignmentFormats="0" applyWidthHeightFormats="1" dataCaption="Values" updatedVersion="7" minRefreshableVersion="3" itemPrintTitles="1" createdVersion="8" indent="0" outline="1" outlineData="1" multipleFieldFilters="0" rowHeaderCaption="MONTH">
  <location ref="M148:N155" firstHeaderRow="1" firstDataRow="1" firstDataCol="1"/>
  <pivotFields count="19">
    <pivotField axis="axisRow" showAll="0">
      <items count="16">
        <item x="0"/>
        <item x="1"/>
        <item x="2"/>
        <item x="3"/>
        <item x="4"/>
        <item m="1" x="6"/>
        <item m="1" x="14"/>
        <item m="1" x="12"/>
        <item m="1" x="11"/>
        <item m="1" x="13"/>
        <item m="1" x="8"/>
        <item m="1" x="10"/>
        <item m="1" x="9"/>
        <item x="5"/>
        <item m="1" x="7"/>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dataField="1" numFmtId="164" showAll="0"/>
    <pivotField showAll="0"/>
  </pivotFields>
  <rowFields count="1">
    <field x="0"/>
  </rowFields>
  <rowItems count="7">
    <i>
      <x/>
    </i>
    <i>
      <x v="1"/>
    </i>
    <i>
      <x v="2"/>
    </i>
    <i>
      <x v="3"/>
    </i>
    <i>
      <x v="4"/>
    </i>
    <i>
      <x v="13"/>
    </i>
    <i t="grand">
      <x/>
    </i>
  </rowItems>
  <colItems count="1">
    <i/>
  </colItems>
  <dataFields count="1">
    <dataField name="MAINTENANCE COST" fld="17" baseField="0" baseItem="0" numFmtId="164"/>
  </dataFields>
  <formats count="8">
    <format dxfId="29">
      <pivotArea outline="0" collapsedLevelsAreSubtotals="1" fieldPosition="0"/>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 dxfId="22">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FA0AC3-540F-48C2-859D-12F55EFD36CB}" name="PivotTable1"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location ref="M92:N94" firstHeaderRow="1" firstDataRow="1" firstDataCol="1"/>
  <pivotFields count="20">
    <pivotField axis="axisRow" showAll="0">
      <items count="13">
        <item m="1" x="1"/>
        <item m="1" x="2"/>
        <item m="1" x="3"/>
        <item m="1" x="4"/>
        <item m="1" x="5"/>
        <item m="1" x="6"/>
        <item m="1" x="7"/>
        <item m="1" x="8"/>
        <item m="1" x="9"/>
        <item m="1" x="10"/>
        <item m="1" x="11"/>
        <item x="0"/>
        <item t="default"/>
      </items>
    </pivotField>
    <pivotField numFmtId="15" showAll="0"/>
    <pivotField showAll="0"/>
    <pivotField showAll="0"/>
    <pivotField showAll="0"/>
    <pivotField showAll="0">
      <items count="7">
        <item m="1" x="3"/>
        <item m="1" x="2"/>
        <item m="1" x="1"/>
        <item f="1" x="5"/>
        <item m="1" x="4"/>
        <item x="0"/>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dataField="1" numFmtId="164" showAll="0"/>
    <pivotField showAll="0"/>
  </pivotFields>
  <rowFields count="1">
    <field x="0"/>
  </rowFields>
  <rowItems count="2">
    <i>
      <x v="11"/>
    </i>
    <i t="grand">
      <x/>
    </i>
  </rowItems>
  <colItems count="1">
    <i/>
  </colItems>
  <dataFields count="1">
    <dataField name="MAINTENANCE COST" fld="18" baseField="0" baseItem="0" numFmtId="164"/>
  </dataFields>
  <formats count="8">
    <format dxfId="37">
      <pivotArea outline="0" collapsedLevelsAreSubtotals="1" fieldPosition="0"/>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F27E03-0193-4E63-8FBB-7DB9D2ABAEA0}" name="PivotTable3"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location ref="M197:N199" firstHeaderRow="1" firstDataRow="1" firstDataCol="1"/>
  <pivotFields count="14">
    <pivotField axis="axisRow" showAll="0">
      <items count="13">
        <item m="1" x="1"/>
        <item m="1" x="3"/>
        <item m="1" x="4"/>
        <item m="1" x="5"/>
        <item m="1" x="6"/>
        <item m="1" x="2"/>
        <item m="1" x="7"/>
        <item m="1" x="8"/>
        <item m="1" x="9"/>
        <item m="1" x="10"/>
        <item m="1" x="11"/>
        <item x="0"/>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s>
  <rowFields count="1">
    <field x="0"/>
  </rowFields>
  <rowItems count="2">
    <i>
      <x v="11"/>
    </i>
    <i t="grand">
      <x/>
    </i>
  </rowItems>
  <colItems count="1">
    <i/>
  </colItems>
  <dataFields count="1">
    <dataField name="MAINTENANCE COST" fld="13" baseField="0" baseItem="0" numFmtId="164"/>
  </dataFields>
  <formats count="8">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DESCRIPTION" xr10:uid="{D97322B7-9419-460E-A911-E58EF022080E}" sourceName="ASSET DESCRIPTION">
  <pivotTables>
    <pivotTable tabId="17" name="PivotTable3"/>
  </pivotTables>
  <data>
    <tabular pivotCacheId="243420659">
      <items count="24">
        <i x="7" s="1"/>
        <i x="2" s="1"/>
        <i x="8" s="1"/>
        <i x="3" s="1"/>
        <i x="6" s="1"/>
        <i x="0" s="1"/>
        <i x="1" s="1"/>
        <i x="10" s="1" nd="1"/>
        <i x="4" s="1" nd="1"/>
        <i x="14" s="1" nd="1"/>
        <i x="21" s="1" nd="1"/>
        <i x="11" s="1" nd="1"/>
        <i x="23" s="1" nd="1"/>
        <i x="15" s="1" nd="1"/>
        <i x="16" s="1" nd="1"/>
        <i x="9" s="1" nd="1"/>
        <i x="20" s="1" nd="1"/>
        <i x="13" s="1" nd="1"/>
        <i x="22" s="1" nd="1"/>
        <i x="17" s="1" nd="1"/>
        <i x="18" s="1" nd="1"/>
        <i x="5" s="1" nd="1"/>
        <i x="19"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REG_NO." xr10:uid="{83B6AF2E-EBEA-4803-BEB8-0E0EE145010F}" sourceName="VEHICLE REG NO.">
  <pivotTables>
    <pivotTable tabId="17" name="PivotTable6"/>
  </pivotTables>
  <data>
    <tabular pivotCacheId="391807169">
      <items count="2">
        <i x="1"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8789BD6-AE6D-45DA-892D-2D95A97A58F3}" sourceName="LOCATION">
  <pivotTables>
    <pivotTable tabId="17" name="PivotTable9"/>
  </pivotTables>
  <data>
    <tabular pivotCacheId="186861412" showMissing="0">
      <items count="16">
        <i x="0" s="1" nd="1"/>
        <i x="13" s="1" nd="1"/>
        <i x="6" s="1" nd="1"/>
        <i x="11" s="1" nd="1"/>
        <i x="10" s="1" nd="1"/>
        <i x="14" s="1" nd="1"/>
        <i x="12" s="1" nd="1"/>
        <i x="7" s="1" nd="1"/>
        <i x="3" s="1" nd="1"/>
        <i x="4" s="1" nd="1"/>
        <i x="8" s="1" nd="1"/>
        <i x="2" s="1" nd="1"/>
        <i x="1" s="1" nd="1"/>
        <i x="5" s="1" nd="1"/>
        <i x="15"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DESCRIPTION" xr10:uid="{2A95F5B8-E31B-4646-9A81-E588E8DDB14A}" cache="Slicer_ASSET_DESCRIPTION" caption="ASSET DESCRIPTION" style="Slicer Style 1" rowHeight="241300"/>
  <slicer name="VEHICLE REG NO." xr10:uid="{F42533BD-FB60-4B3A-BDC7-533894822192}" cache="Slicer_VEHICLE_REG_NO." caption="VEHICLE REG NO." style="Slicer Style 1" rowHeight="241300"/>
  <slicer name="LOCATION" xr10:uid="{3BD4968C-DC07-47AB-AA6A-10585D152BF6}" cache="Slicer_LOCATION" caption="LOCATION"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DESCRIPTION 1" xr10:uid="{81BF2091-2B4D-4985-9264-354A22993816}" cache="Slicer_ASSET_DESCRIPTION" caption="ASSET DESCRIPTION" style="Slicer Style 1" rowHeight="241300"/>
  <slicer name="VEHICLE REG NO. 1" xr10:uid="{6FB89500-22FE-47E8-83F2-0022984C66ED}" cache="Slicer_VEHICLE_REG_NO." caption="VEHICLE REG NO." style="Slicer Style 1" rowHeight="241300"/>
  <slicer name="LOCATION 1" xr10:uid="{6B2365B5-5CD6-4DC1-B11B-7CA3277456CF}" cache="Slicer_LOCATION" caption="LOCATION" style="Slicer Style 1" rowHeight="241300"/>
</slicers>
</file>

<file path=xl/tables/table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7" ns2:uid="{00000000-000C-0000-FFFF-FFFF01000000}" name="Vehicle" displayName="Vehicle" ref="C8:W9" totalsRowShown="0" headerRowDxfId="21" dataDxfId="248" headerRowBorderDxfId="249" tableBorderDxfId="247" headerRowCellStyle="Table Headers">
  <autoFilter ref="C8:W9" ns2:uid="{00000000-000C-0000-FFFF-FFFF01000000}">
    <filterColumn colId="20">
      <filters>
        <filter val="Reported faults or breakdown are resolved accordingly to ensure the vehicle performs optimally as required by the OEM"/>
      </filters>
    </filterColumn>
  </autoFilter>
  <tableColumns count="21">
    <tableColumn id="1" ns3:uid="{00000000-0010-0000-0100-000001000000}" name="MONTH" dataDxfId="246">
      <calculatedColumnFormula>TEXT(Vehicle[[#This Row],[DATE OF REQUEST]],"mmm")</calculatedColumnFormula>
    </tableColumn>
    <tableColumn id="11" ns3:uid="{9A6C4336-67D0-485E-A0A6-585725C85EB4}" name="DATE OF REQUEST" dataDxfId="245" dataCellStyle="Table Headers"/>
    <tableColumn id="3" ns3:uid="{00000000-0010-0000-0100-000003000000}" name="REQUESTOR" dataDxfId="244"/>
    <tableColumn id="25" ns3:uid="{00000000-0010-0000-0100-000019000000}" name="MRSF No." dataDxfId="243"/>
    <tableColumn id="26" ns3:uid="{00000000-0010-0000-0100-00001A000000}" name="NOTIFICATION STATUS" dataDxfId="242">
      <calculatedColumnFormula>IF(S9="Ongoing","Open",IF(S9="Awaiting Spares","Open",IF(S9="Awaiting Funds","Open",IF(S9="Pending","Open",IF(S9="Completed","Closed","")))))</calculatedColumnFormula>
    </tableColumn>
    <tableColumn id="4" ns3:uid="{00000000-0010-0000-0100-000004000000}" name="REPAIR / MAINTENANCE LOCATION" dataDxfId="241"/>
    <tableColumn id="5" ns3:uid="{00000000-0010-0000-0100-000005000000}" name="ASSET NO." dataDxfId="240"/>
    <tableColumn id="2" ns3:uid="{00000000-0010-0000-0100-000002000000}" name="VEHICLE REG NO." dataDxfId="239">
      <calculatedColumnFormula>IFERROR(INDEX(Vehicle_List[Reg No.],MATCH(Vehicle[[#This Row],[ASSET NO.]],Vehicle_List[Asset Tag Number],0)),"")</calculatedColumnFormula>
    </tableColumn>
    <tableColumn id="6" ns3:uid="{00000000-0010-0000-0100-000006000000}" name="VEHICLE DESCRIPTION" dataDxfId="238">
      <calculatedColumnFormula>IFERROR(INDEX(Vehicle_List[Vehicle Make],MATCH(Vehicle[[#This Row],[ASSET NO.]],Vehicle_List[Asset Tag Number],0)),"")</calculatedColumnFormula>
    </tableColumn>
    <tableColumn id="14" ns3:uid="{065E0459-6F21-4E08-A30A-E7FBDD478111}" name="ODOMETER READING" dataDxfId="237" dataCellStyle="Currency Custom"/>
    <tableColumn id="16" ns3:uid="{3D7A0D55-2453-4B89-901A-C8E7E8A5CA6F}" name="NEXT SERVICE MILEAGE" dataDxfId="0" dataCellStyle="Currency Custom"/>
    <tableColumn id="7" ns3:uid="{00000000-0010-0000-0100-000007000000}" name="DESCRIPTION OF REQUEST" dataDxfId="236"/>
    <tableColumn id="8" ns3:uid="{00000000-0010-0000-0100-000008000000}" name="DESCRIPTION OF WORK DONE" dataDxfId="235"/>
    <tableColumn id="13" ns3:uid="{00000000-0010-0000-0100-00000D000000}" name="PARTS SUPPLIED BY" dataDxfId="234"/>
    <tableColumn id="9" ns3:uid="{00000000-0010-0000-0100-000009000000}" name="WORK DONE AT" dataDxfId="233"/>
    <tableColumn id="12" ns3:uid="{7A4E435A-936E-4F6E-A842-A281E861E865}" name="DATE TAKEN TO WORKSHOP" dataDxfId="232" dataCellStyle="Table Headers"/>
    <tableColumn id="17" ns3:uid="{00000000-0010-0000-0100-000011000000}" name="STATUS OF WORK" dataDxfId="231" dataCellStyle="Table Headers"/>
    <tableColumn id="18" ns3:uid="{00000000-0010-0000-0100-000012000000}" name="DATE COMPLETED" dataDxfId="230" dataCellStyle="Table Headers"/>
    <tableColumn id="15" ns3:uid="{DE828C70-0B97-4BF3-AAC2-C4F3045F2F8D}" name="DAYS TAKEN TO COMPLETE" dataDxfId="229" dataCellStyle="Table Headers">
      <calculatedColumnFormula>IF(ISBLANK(Vehicle[[#This Row],[DATE COMPLETED]]), "",Vehicle[[#This Row],[DATE COMPLETED]]-Vehicle[[#This Row],[DATE TAKEN TO WORKSHOP]])</calculatedColumnFormula>
    </tableColumn>
    <tableColumn id="22" ns3:uid="{00000000-0010-0000-0100-000016000000}" name="SPARES COST (NGN)" dataDxfId="228"/>
    <tableColumn id="10" ns3:uid="{9CB2AB65-629A-4EAB-9CCE-791B9022CD55}" name="JUSTIFICATION / EVALUATION" dataDxfId="227"/>
  </tableColumns>
  <tableStyleInfo name="TableStyleLight1" showFirstColumn="0" showLastColumn="0" showRowStripes="1" showColumnStripes="0"/>
</table>
</file>

<file path=xl/tables/table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0000000}" name="Equipment" displayName="Equipment" ref="C8:U9" totalsRowShown="0" headerRowDxfId="226" dataDxfId="224" headerRowBorderDxfId="225" tableBorderDxfId="223" headerRowCellStyle="Table Headers">
  <autoFilter ref="C8:U9" ns2:uid="{00000000-000C-0000-FFFF-FFFF00000000}"/>
  <tableColumns count="19">
    <tableColumn id="1" ns3:uid="{00000000-0010-0000-0000-000001000000}" name="MONTH" dataDxfId="222" totalsRowDxfId="221">
      <calculatedColumnFormula>TEXT(Equipment[[#This Row],[DATE OF REQUEST]],"mmm")</calculatedColumnFormula>
    </tableColumn>
    <tableColumn id="2" ns3:uid="{7B70D975-E5A4-48C4-92EC-CDDCD6EAB433}" name="DATE OF REQUEST" dataDxfId="220" totalsRowDxfId="219"/>
    <tableColumn id="3" ns3:uid="{00000000-0010-0000-0000-000003000000}" name="REQUESTOR" dataDxfId="218" totalsRowDxfId="217"/>
    <tableColumn id="25" ns3:uid="{00000000-0010-0000-0000-000019000000}" name="MRSF No." dataDxfId="216" totalsRowDxfId="215"/>
    <tableColumn id="26" ns3:uid="{00000000-0010-0000-0000-00001A000000}" name="NOTIFICATION STATUS" dataDxfId="214">
      <calculatedColumnFormula>IF(R9="Ongoing","Open",IF(R9="Awaiting Spares","Open",IF(R9="Pending","Open",IF(R9="Awaiting Funds","Open",IF(R9="Completed","Closed","")))))</calculatedColumnFormula>
    </tableColumn>
    <tableColumn id="12" ns3:uid="{F9EB2114-2083-46A8-9BDD-9C2D80739DC2}" name="END USER" dataDxfId="213" dataCellStyle="Table Headers"/>
    <tableColumn id="4" ns3:uid="{00000000-0010-0000-0000-000004000000}" name="LOCATION" dataDxfId="212" totalsRowDxfId="211"/>
    <tableColumn id="5" ns3:uid="{00000000-0010-0000-0000-000005000000}" name="ASSET NO." dataDxfId="210" totalsRowDxfId="209"/>
    <tableColumn id="6" ns3:uid="{00000000-0010-0000-0000-000006000000}" name="ASSET DESCRIPTION" dataDxfId="208" totalsRowDxfId="207">
      <calculatedColumnFormula>IFERROR(INDEX(Generator_List[Generator Details],MATCH(Equipment[[#This Row],[ASSET NO.]],Generator_List[Asset Tag Number],0)),"")</calculatedColumnFormula>
    </tableColumn>
    <tableColumn id="7" ns3:uid="{00000000-0010-0000-0000-000007000000}" name="DESCRIPTION OF REQUEST" dataDxfId="206" totalsRowDxfId="205"/>
    <tableColumn id="11" ns3:uid="{DF177E27-3006-4764-BB30-8988CF80731E}" name="GENERATOR RUNNING HOURS" dataDxfId="204" totalsRowDxfId="203"/>
    <tableColumn id="14" ns3:uid="{5D1784C2-2998-43F3-8C68-8B367F486D84}" name="NEXT SERVICE HOUR" dataDxfId="202" totalsRowDxfId="201" dataCellStyle="Comma"/>
    <tableColumn id="8" ns3:uid="{00000000-0010-0000-0000-000008000000}" name="DESCRIPTION OF WORK DONE" dataDxfId="200" totalsRowDxfId="199"/>
    <tableColumn id="13" ns3:uid="{00000000-0010-0000-0000-00000D000000}" name="PARTS SUPPLIED BY" dataDxfId="198" totalsRowDxfId="197"/>
    <tableColumn id="10" ns3:uid="{32FF4FD2-D731-4FDB-BEE2-65C6CDBB412D}" name="WORK DONE BY" dataDxfId="196" dataCellStyle="Table Headers"/>
    <tableColumn id="17" ns3:uid="{00000000-0010-0000-0000-000011000000}" name="STATUS OF WORK" dataDxfId="195" totalsRowDxfId="194" dataCellStyle="Table Headers"/>
    <tableColumn id="18" ns3:uid="{00000000-0010-0000-0000-000012000000}" name="DATE COMPLETED" dataDxfId="193" totalsRowDxfId="192"/>
    <tableColumn id="22" ns3:uid="{00000000-0010-0000-0000-000016000000}" name="SPARES COST" dataDxfId="191" totalsRowDxfId="190"/>
    <tableColumn id="9" ns3:uid="{70C39629-D3AD-4027-99DB-3C0051EC4F58}" name="JUSTIFICATION / EVALUATION" dataDxfId="189"/>
  </tableColumns>
  <tableStyleInfo name="TableStyleLight1"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8" ns2:uid="{00000000-000C-0000-FFFF-FFFF02000000}" name="Facility" displayName="Facility" ref="C8:P9" totalsRowShown="0" headerRowDxfId="188" dataDxfId="186" headerRowBorderDxfId="187" tableBorderDxfId="185" headerRowCellStyle="Table Headers">
  <autoFilter ref="C8:P9" ns2:uid="{00000000-000C-0000-FFFF-FFFF02000000}"/>
  <tableColumns count="14">
    <tableColumn id="1" ns3:uid="{00000000-0010-0000-0200-000001000000}" name="MONTH" dataDxfId="184">
      <calculatedColumnFormula>TEXT(Facility[[#This Row],[DATE OF REQUEST]],"mmm")</calculatedColumnFormula>
    </tableColumn>
    <tableColumn id="5" ns3:uid="{E941361D-A656-40F4-A902-7334B2DE06CE}" name="DATE OF REQUEST" dataDxfId="183"/>
    <tableColumn id="3" ns3:uid="{00000000-0010-0000-0200-000003000000}" name="REQUESTOR" dataDxfId="182" dataCellStyle="Table Headers"/>
    <tableColumn id="25" ns3:uid="{00000000-0010-0000-0200-000019000000}" name="MRSF No." dataDxfId="181"/>
    <tableColumn id="26" ns3:uid="{00000000-0010-0000-0200-00001A000000}" name="NOTIFICATION STATUS" dataDxfId="180">
      <calculatedColumnFormula>IF(O9="Ongoing","Open",IF(O9="Awaiting Spares","Open",IF(O9="Pending","Open",IF(O9="Awaiting Funds","Open",IF(O9="Completed","Closed","")))))</calculatedColumnFormula>
    </tableColumn>
    <tableColumn id="9" ns3:uid="{1E3E4095-FC52-4460-B150-BAF18C6BC971}" name="END USER" dataDxfId="179"/>
    <tableColumn id="4" ns3:uid="{00000000-0010-0000-0200-000004000000}" name="LOCATION" dataDxfId="178"/>
    <tableColumn id="2" ns3:uid="{9142A146-DAE7-4222-9317-85E23D6D765F}" name="ROOM / FLAT" dataDxfId="177"/>
    <tableColumn id="6" ns3:uid="{00000000-0010-0000-0200-000006000000}" name="ASSET DESCRIPTION" dataDxfId="176"/>
    <tableColumn id="7" ns3:uid="{00000000-0010-0000-0200-000007000000}" name="DESCRIPTION OF REQUEST" dataDxfId="175"/>
    <tableColumn id="8" ns3:uid="{00000000-0010-0000-0200-000008000000}" name="DESCRIPTION OF WORK DONE" dataDxfId="174"/>
    <tableColumn id="13" ns3:uid="{00000000-0010-0000-0200-00000D000000}" name="NAME " dataDxfId="173"/>
    <tableColumn id="17" ns3:uid="{00000000-0010-0000-0200-000011000000}" name="STATUS OF WORK" dataDxfId="172" dataCellStyle="Table Headers"/>
    <tableColumn id="22" ns3:uid="{00000000-0010-0000-0200-000016000000}" name="SPARES COST (NGN)" dataDxfId="17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086F3F-0BAB-4065-8529-3CA7980D9FA8}" name="Table2" displayName="Table2" ref="F3:F16" totalsRowShown="0" headerRowDxfId="170" headerRowBorderDxfId="169" tableBorderDxfId="168" totalsRowBorderDxfId="167">
  <autoFilter ref="F3:F16" xr:uid="{B8086F3F-0BAB-4065-8529-3CA7980D9FA8}"/>
  <tableColumns count="1">
    <tableColumn id="1" xr3:uid="{14431C97-6BEB-4AEA-A449-093525547986}" name="FACILITY" dataDxfId="16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F6175E-FBAB-435E-8CE8-75545853ACDA}" name="Table5" displayName="Table5" ref="D3:D10" totalsRowShown="0" headerRowDxfId="165" headerRowBorderDxfId="164" tableBorderDxfId="163">
  <autoFilter ref="D3:D10" xr:uid="{26F6175E-FBAB-435E-8CE8-75545853ACDA}"/>
  <tableColumns count="1">
    <tableColumn id="1" xr3:uid="{5CA830B5-ACE9-465A-97EE-0DD36377FC45}" name="VEHICLE" dataDxfId="16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BCEC0D-252E-44FB-9202-757CDC2F3B1F}" name="Table6" displayName="Table6" ref="B3:B14" totalsRowShown="0" headerRowDxfId="161" headerRowBorderDxfId="160" tableBorderDxfId="159" totalsRowBorderDxfId="158">
  <autoFilter ref="B3:B14" xr:uid="{FBBCEC0D-252E-44FB-9202-757CDC2F3B1F}"/>
  <tableColumns count="1">
    <tableColumn id="1" xr3:uid="{8AD2A43E-3803-4BA9-9B3B-5560CF6756E6}" name="EQUIPMENT"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Vehicle_List" displayName="Vehicle_List" ref="D2:F96" totalsRowShown="0" headerRowDxfId="156" dataDxfId="155" tableBorderDxfId="154">
  <autoFilter ref="D2:F96" xr:uid="{00000000-0009-0000-0100-000003000000}"/>
  <tableColumns count="3">
    <tableColumn id="1" xr3:uid="{00000000-0010-0000-0300-000001000000}" name="Asset Tag Number" dataDxfId="153" dataCellStyle="Normal 11"/>
    <tableColumn id="2" xr3:uid="{00000000-0010-0000-0300-000002000000}" name="Reg No." dataDxfId="152" dataCellStyle="Normal 11">
      <calculatedColumnFormula>CONCATENATE(Vehicle_List[[#This Row],[Reg No.]], " - ", Vehicle_List[[#This Row],[Vehicle Make]])</calculatedColumnFormula>
    </tableColumn>
    <tableColumn id="3" xr3:uid="{00000000-0010-0000-0300-000003000000}" name="Vehicle Make" dataDxfId="151" dataCellStyle="Normal 1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Generator_List" displayName="Generator_List" ref="D2:G28" totalsRowShown="0" headerRowDxfId="150" dataDxfId="148" headerRowBorderDxfId="149" tableBorderDxfId="147">
  <autoFilter ref="D2:G28" xr:uid="{00000000-0009-0000-0100-000004000000}"/>
  <tableColumns count="4">
    <tableColumn id="1" xr3:uid="{00000000-0010-0000-0400-000001000000}" name="Asset Tag Number" dataDxfId="146"/>
    <tableColumn id="2" xr3:uid="{00000000-0010-0000-0400-000002000000}" name="Generator Details" dataDxfId="145"/>
    <tableColumn id="3" xr3:uid="{00000000-0010-0000-0400-000003000000}" name="Location" dataDxfId="144"/>
    <tableColumn id="4" xr3:uid="{00000000-0010-0000-0400-000004000000}" name="Custodian " dataDxfId="143"/>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8642ABE-ED5A-4455-B4D6-E65FF82927C7}" name="Table10" displayName="Table10" ref="A151:G163" totalsRowShown="0" headerRowDxfId="82" headerRowBorderDxfId="81" tableBorderDxfId="80">
  <autoFilter ref="A151:G163" xr:uid="{E8642ABE-ED5A-4455-B4D6-E65FF82927C7}"/>
  <tableColumns count="7">
    <tableColumn id="1" xr3:uid="{AE06E708-26CE-4DA1-AD47-5B7203A974F1}" name="MONTH" dataDxfId="79"/>
    <tableColumn id="2" xr3:uid="{9940690E-95E1-4860-96A3-69148341C938}" name="COST" dataDxfId="78">
      <calculatedColumnFormula>GETPIVOTDATA("SPARES COST (NGN)",$X$50,"MONTH",$A152)</calculatedColumnFormula>
    </tableColumn>
    <tableColumn id="3" xr3:uid="{E1CE7A55-A649-41C9-A80F-FC4E06DA5184}" name="VARIANCE" dataDxfId="77"/>
    <tableColumn id="4" xr3:uid="{3308200B-C991-40CF-BF77-0A0194963DB2}" name="%DIFFERENCE" dataDxfId="76" dataCellStyle="Percent"/>
    <tableColumn id="5" xr3:uid="{0AF3D480-A7BB-40E8-A164-0FADCA8768DC}" name="LABELLE(XY)" dataDxfId="75"/>
    <tableColumn id="6" xr3:uid="{456E66A4-88FC-4F9C-B899-E22BBAA70874}" name="INCREASE" dataDxfId="74" dataCellStyle="Comma"/>
    <tableColumn id="7" xr3:uid="{401FE362-A38B-49FF-B30D-A320851F9E4F}" name="DECREASE" dataDxfId="73" dataCellStyle="Comm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EEF45C9-D259-439D-951E-5FA0BB7B5BDF}" name="Table11" displayName="Table11" ref="A132:G144" totalsRowShown="0" headerRowDxfId="72" headerRowBorderDxfId="71" tableBorderDxfId="70">
  <autoFilter ref="A132:G144" xr:uid="{BEEF45C9-D259-439D-951E-5FA0BB7B5BDF}"/>
  <tableColumns count="7">
    <tableColumn id="1" xr3:uid="{128C1EB0-C60F-4AA1-9714-181523228D2A}" name="MONTH" dataDxfId="69"/>
    <tableColumn id="2" xr3:uid="{724D5C0D-B235-4299-B4B4-FC4ACCBD10F3}" name="COST" dataDxfId="68">
      <calculatedColumnFormula>GETPIVOTDATA("SPARES COST (NGN)",$J$27,"MONTH",$A133)</calculatedColumnFormula>
    </tableColumn>
    <tableColumn id="3" xr3:uid="{85AEBF72-3298-4BCF-9375-A4CFB34133F9}" name="VARIANCE" dataDxfId="67"/>
    <tableColumn id="4" xr3:uid="{315B5F37-A1DB-4528-9216-1C673ECFEA15}" name="%DIFFERENCE" dataDxfId="66" dataCellStyle="Percent"/>
    <tableColumn id="5" xr3:uid="{335132C3-D656-4DDE-8004-766E4D1CA69D}" name="LABELLE(XY)"/>
    <tableColumn id="6" xr3:uid="{FEDE4A08-14AF-49A4-B0DA-34D94DB558E9}" name="INCREASE" dataDxfId="65" dataCellStyle="Comma"/>
    <tableColumn id="7" xr3:uid="{48C30103-5243-4762-89BD-51B70C15440F}" name="DECREASE" dataDxfId="64" dataCellStyle="Comma"/>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8D09C2-F4E2-4D7A-BC4C-FA3844C7AE1C}" name="Table12" displayName="Table12" ref="A114:G126" totalsRowShown="0" headerRowDxfId="63" headerRowBorderDxfId="62" tableBorderDxfId="61">
  <autoFilter ref="A114:G126" xr:uid="{6D8D09C2-F4E2-4D7A-BC4C-FA3844C7AE1C}"/>
  <tableColumns count="7">
    <tableColumn id="1" xr3:uid="{FCB65311-D89A-42FB-9A7C-2F107738466D}" name="MONTH" dataDxfId="60"/>
    <tableColumn id="2" xr3:uid="{9AA335E1-4B37-4CFC-8A17-A1B777A59F26}" name="COST" dataDxfId="59">
      <calculatedColumnFormula>GETPIVOTDATA("SPARES COST",$A$49,"MONTH",$A115)</calculatedColumnFormula>
    </tableColumn>
    <tableColumn id="3" xr3:uid="{483D414C-C2E9-4FAE-8E3D-CE00E3E84850}" name="VARIANCE" dataDxfId="58"/>
    <tableColumn id="4" xr3:uid="{4246CA30-0747-4878-81EA-1E52FA3446E7}" name="%DIFFERENCE" dataDxfId="57" dataCellStyle="Percent"/>
    <tableColumn id="5" xr3:uid="{71808B40-1B53-4658-B7B3-5C00A0FE3189}" name="LABELLE(XY)" dataDxfId="56"/>
    <tableColumn id="6" xr3:uid="{7AA4DC54-4566-463E-97A8-70B08FCF882B}" name="INCREASE" dataDxfId="55" dataCellStyle="Comma"/>
    <tableColumn id="7" xr3:uid="{BF92FEF8-573F-494C-855A-D3C4875FB25B}" name="DECREASE" dataDxfId="54" dataCellStyle="Comma"/>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990079D-8444-4FEB-887A-FF82FE829D36}" name="Table13" displayName="Table13" ref="B98:E109" totalsRowShown="0" headerRowDxfId="53" headerRowBorderDxfId="52" tableBorderDxfId="51" totalsRowBorderDxfId="50">
  <autoFilter ref="B98:E109" xr:uid="{E990079D-8444-4FEB-887A-FF82FE829D36}"/>
  <tableColumns count="4">
    <tableColumn id="1" xr3:uid="{7D28873A-BA46-4EE0-A694-645BBD027EC0}" name="Column1" dataDxfId="49"/>
    <tableColumn id="2" xr3:uid="{32D16881-4148-4E25-B112-5174C4F97853}" name="EQUIPMENT" dataDxfId="48" dataCellStyle="Comma">
      <calculatedColumnFormula>GETPIVOTDATA("SPARES COST",$A$49,"MONTH",$B99)</calculatedColumnFormula>
    </tableColumn>
    <tableColumn id="3" xr3:uid="{22B6C3E9-68B2-4709-9167-3AFE621A3D9A}" name=" VEHICLE" dataDxfId="47">
      <calculatedColumnFormula>GETPIVOTDATA("SPARES COST (NGN)",$J$27,"MONTH",$B99)</calculatedColumnFormula>
    </tableColumn>
    <tableColumn id="4" xr3:uid="{C4787F36-6081-4916-A587-10675E49DD54}" name="FACILITY" dataDxfId="46">
      <calculatedColumnFormula>GETPIVOTDATA("SPARES COST (NGN)",$X$50,"MONTH",$B99)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REQUEST1" xr10:uid="{09C4D79B-C355-420E-AE3C-50D3DEB9E172}" sourceName="DATE OF REQUEST">
  <pivotTables>
    <pivotTable tabId="17" name="PivotTable6"/>
  </pivotTables>
  <state minimalRefreshVersion="6" lastRefreshVersion="6" pivotCacheId="391807169" filterType="unknown">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REQUEST 1" xr10:uid="{7AD0997E-B3AF-42C2-A3CB-28ECA66E188D}" cache="NativeTimeline_DATE_OF_REQUEST1" caption="DATE OF REQUEST" level="2" selectionLevel="2" scrollPosition="2024-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REQUEST 3" xr10:uid="{90B1B2BD-0E1B-49FE-9694-ECDC3472FF4C}" cache="NativeTimeline_DATE_OF_REQUEST1" caption="DATE OF REQUEST" level="2" selectionLevel="2" scrollPosition="2024-06-07T00:00:00" style="Timeline Style 1"/>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5.bin"/><Relationship Id="rId18" Type="http://schemas.openxmlformats.org/officeDocument/2006/relationships/table" Target="../tables/table1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11.xml"/><Relationship Id="rId2" Type="http://schemas.openxmlformats.org/officeDocument/2006/relationships/pivotTable" Target="../pivotTables/pivotTable2.xml"/><Relationship Id="rId16" Type="http://schemas.openxmlformats.org/officeDocument/2006/relationships/table" Target="../tables/table10.xml"/><Relationship Id="rId20"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9.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microsoft.com/office/2011/relationships/timeline" Target="../timelines/timeline2.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2.xml"/><Relationship Id="rId5" Type="http://schemas.openxmlformats.org/officeDocument/2006/relationships/drawing" Target="../drawings/drawing5.xm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xmlns:ns4="http://schemas.microsoft.com/office/spreadsheetml/2009/9/main" xmlns:ns5="http://schemas.microsoft.com/office/excel/2006/main" ns1:Ignorable="x14ac xr xr2 xr3" ns2:uid="{00000000-0001-0000-0100-000000000000}">
  <dimension ref="A1:W9"/>
  <sheetViews>
    <sheetView showGridLines="0" tabSelected="1" topLeftCell="C1" zoomScaleNormal="100" zoomScaleSheetLayoutView="100" workbookViewId="0">
      <selection activeCell="C9" sqref="C9"/>
    </sheetView>
  </sheetViews>
  <sheetFormatPr defaultColWidth="9.1796875" defaultRowHeight="18.5"/>
  <cols>
    <col min="1" max="1" width="1.26953125" style="266" customWidth="1"/>
    <col min="2" max="2" width="1.54296875" style="266" customWidth="1"/>
    <col min="3" max="3" width="10.36328125" style="266" customWidth="1"/>
    <col min="4" max="4" width="19.453125" style="287" customWidth="1"/>
    <col min="5" max="5" width="21.26953125" style="266" customWidth="1"/>
    <col min="6" max="6" width="15" style="266" customWidth="1"/>
    <col min="7" max="7" width="18.26953125" style="266" customWidth="1"/>
    <col min="8" max="8" width="20.81640625" style="266" customWidth="1"/>
    <col min="9" max="9" width="18.7265625" style="266" customWidth="1"/>
    <col min="10" max="10" width="23" style="266" customWidth="1"/>
    <col min="11" max="11" width="21.7265625" style="266" customWidth="1"/>
    <col min="12" max="13" width="17.54296875" style="266" customWidth="1"/>
    <col min="14" max="14" width="34.1796875" style="266" customWidth="1"/>
    <col min="15" max="15" width="57.54296875" style="266" customWidth="1"/>
    <col min="16" max="16" width="20.1796875" style="266" customWidth="1"/>
    <col min="17" max="17" width="18.7265625" style="266" customWidth="1"/>
    <col min="18" max="18" width="18.453125" style="288" customWidth="1"/>
    <col min="19" max="19" width="15.81640625" style="266" customWidth="1"/>
    <col min="20" max="20" width="18.54296875" style="289" customWidth="1"/>
    <col min="21" max="21" width="20.54296875" style="289" customWidth="1"/>
    <col min="22" max="22" width="14.54296875" style="290" customWidth="1"/>
    <col min="23" max="23" width="34.453125" style="266" customWidth="1"/>
    <col min="24" max="25" width="9.1796875" style="266"/>
    <col min="26" max="26" width="16.26953125" style="266" customWidth="1"/>
    <col min="27" max="27" width="16" style="266" customWidth="1"/>
    <col min="28" max="16384" width="9.1796875" style="266"/>
  </cols>
  <sheetData>
    <row r="1" spans="1:27" s="259" customFormat="1" ht="9.65" customHeight="1">
      <c r="D1" s="260"/>
      <c r="E1" s="260"/>
      <c r="F1" s="260"/>
      <c r="G1" s="260"/>
      <c r="H1" s="260"/>
      <c r="I1" s="260"/>
      <c r="J1" s="261"/>
      <c r="K1" s="262"/>
      <c r="L1" s="262"/>
      <c r="M1" s="262"/>
      <c r="N1" s="262"/>
      <c r="O1" s="262"/>
      <c r="P1" s="263"/>
      <c r="Q1" s="263"/>
      <c r="R1" s="264"/>
      <c r="V1" s="265"/>
    </row>
    <row r="2" spans="1:27" s="259" customFormat="1" ht="9" customHeight="1">
      <c r="D2" s="260"/>
      <c r="E2" s="260"/>
      <c r="F2" s="260"/>
      <c r="G2" s="260"/>
      <c r="H2" s="260"/>
      <c r="I2" s="260"/>
      <c r="J2" s="261"/>
      <c r="K2" s="262"/>
      <c r="L2" s="262"/>
      <c r="M2" s="262"/>
      <c r="N2" s="262"/>
      <c r="O2" s="262"/>
      <c r="P2" s="263"/>
      <c r="Q2" s="263"/>
      <c r="R2" s="264"/>
      <c r="V2" s="265"/>
    </row>
    <row r="3" spans="1:27" ht="9" customHeight="1">
      <c r="D3" s="260"/>
      <c r="E3" s="267"/>
      <c r="F3" s="267"/>
      <c r="G3" s="267"/>
      <c r="H3" s="267"/>
      <c r="I3" s="267"/>
      <c r="J3" s="268"/>
      <c r="K3" s="269"/>
      <c r="L3" s="269"/>
      <c r="M3" s="269"/>
      <c r="N3" s="269"/>
      <c r="O3" s="269"/>
      <c r="P3" s="270"/>
      <c r="Q3" s="270"/>
      <c r="R3" s="271"/>
      <c r="T3" s="266"/>
      <c r="U3" s="266"/>
      <c r="V3" s="272"/>
    </row>
    <row r="4" spans="1:27" ht="5.25" customHeight="1">
      <c r="D4" s="260"/>
      <c r="E4" s="267"/>
      <c r="F4" s="267"/>
      <c r="G4" s="267"/>
      <c r="H4" s="267"/>
      <c r="I4" s="267"/>
      <c r="J4" s="268"/>
      <c r="K4" s="269"/>
      <c r="L4" s="269"/>
      <c r="M4" s="269"/>
      <c r="N4" s="269"/>
      <c r="O4" s="269"/>
      <c r="P4" s="270"/>
      <c r="Q4" s="270"/>
      <c r="R4" s="271"/>
      <c r="T4" s="266"/>
      <c r="U4" s="266"/>
      <c r="V4" s="272"/>
    </row>
    <row r="5" spans="1:27" ht="20.25" customHeight="1">
      <c r="D5" s="259"/>
      <c r="E5" s="297" t="s">
        <v>0</v>
      </c>
      <c r="F5" s="297"/>
      <c r="G5" s="297"/>
      <c r="H5" s="297"/>
      <c r="I5" s="297"/>
      <c r="J5" s="297"/>
      <c r="K5" s="297"/>
      <c r="L5" s="297"/>
      <c r="M5" s="297"/>
      <c r="N5" s="297"/>
      <c r="O5" s="297"/>
      <c r="P5" s="270"/>
      <c r="Q5" s="270"/>
      <c r="R5" s="271"/>
      <c r="T5" s="266"/>
      <c r="U5" s="266"/>
      <c r="V5" s="272"/>
    </row>
    <row r="6" spans="1:27" ht="12" customHeight="1" thickBot="1">
      <c r="D6" s="260"/>
      <c r="E6" s="267"/>
      <c r="F6" s="267"/>
      <c r="G6" s="267"/>
      <c r="H6" s="267"/>
      <c r="I6" s="267"/>
      <c r="J6" s="268"/>
      <c r="K6" s="269"/>
      <c r="L6" s="269"/>
      <c r="M6" s="269"/>
      <c r="N6" s="269"/>
      <c r="O6" s="269"/>
      <c r="P6" s="270"/>
      <c r="Q6" s="270"/>
      <c r="R6" s="271"/>
      <c r="T6" s="266"/>
      <c r="U6" s="266"/>
      <c r="V6" s="272"/>
    </row>
    <row r="7" spans="1:27" ht="29.25" customHeight="1" thickBot="1">
      <c r="D7" s="273"/>
      <c r="E7" s="274"/>
      <c r="F7" s="274"/>
      <c r="G7" s="274"/>
      <c r="H7" s="274"/>
      <c r="I7" s="274"/>
      <c r="J7" s="275"/>
      <c r="K7" s="274"/>
      <c r="L7" s="274"/>
      <c r="M7" s="274"/>
      <c r="N7" s="274"/>
      <c r="O7" s="274"/>
      <c r="P7" s="298" t="s">
        <v>1</v>
      </c>
      <c r="Q7" s="299"/>
      <c r="R7" s="298" t="s">
        <v>2</v>
      </c>
      <c r="S7" s="300"/>
      <c r="T7" s="300"/>
      <c r="U7" s="300"/>
      <c r="V7" s="299"/>
      <c r="W7" s="276" t="s">
        <v>3</v>
      </c>
    </row>
    <row r="8" spans="1:27" s="314" customFormat="1" ht="43.9" customHeight="1">
      <c r="C8" s="315" t="s">
        <v>4</v>
      </c>
      <c r="D8" s="316" t="s">
        <v>5</v>
      </c>
      <c r="E8" s="317" t="s">
        <v>6</v>
      </c>
      <c r="F8" s="317" t="s">
        <v>7</v>
      </c>
      <c r="G8" s="317" t="s">
        <v>8</v>
      </c>
      <c r="H8" s="317" t="s">
        <v>9</v>
      </c>
      <c r="I8" s="317" t="s">
        <v>10</v>
      </c>
      <c r="J8" s="318" t="s">
        <v>11</v>
      </c>
      <c r="K8" s="317" t="s">
        <v>12</v>
      </c>
      <c r="L8" s="317" t="s">
        <v>13</v>
      </c>
      <c r="M8" s="317" t="s">
        <v>914</v>
      </c>
      <c r="N8" s="317" t="s">
        <v>14</v>
      </c>
      <c r="O8" s="317" t="s">
        <v>15</v>
      </c>
      <c r="P8" s="317" t="s">
        <v>16</v>
      </c>
      <c r="Q8" s="317" t="s">
        <v>17</v>
      </c>
      <c r="R8" s="319" t="s">
        <v>18</v>
      </c>
      <c r="S8" s="317" t="s">
        <v>19</v>
      </c>
      <c r="T8" s="320" t="s">
        <v>20</v>
      </c>
      <c r="U8" s="321" t="s">
        <v>21</v>
      </c>
      <c r="V8" s="322" t="s">
        <v>22</v>
      </c>
      <c r="W8" s="323" t="s">
        <v>23</v>
      </c>
    </row>
    <row r="9" spans="3:23">
      <c r="C9" s="5"/>
      <c r="D9" s="168"/>
      <c r="E9" s="11"/>
      <c r="F9" s="11"/>
      <c r="G9" s="58"/>
      <c r="H9" s="11"/>
      <c r="I9" s="38"/>
      <c r="J9" s="42"/>
      <c r="K9" s="42"/>
      <c r="L9" s="42"/>
      <c r="M9" s="42"/>
      <c r="N9" s="12"/>
      <c r="O9" s="12"/>
      <c r="P9" s="58"/>
      <c r="Q9" s="58"/>
      <c r="R9" s="168"/>
      <c r="S9" s="58"/>
      <c r="T9" s="168"/>
      <c r="U9" s="59"/>
      <c r="V9" s="17"/>
      <c r="W9" s="5"/>
    </row>
  </sheetData>
  <mergeCells count="3">
    <mergeCell ref="E5:O5"/>
    <mergeCell ref="P7:Q7"/>
    <mergeCell ref="R7:V7"/>
  </mergeCells>
  <phoneticPr fontId="11" type="noConversion"/>
  <conditionalFormatting sqref="G10:G170">
    <cfRule type="containsText" dxfId="20" priority="3" operator="containsText" text="Open">
      <formula>NOT(ISERROR(SEARCH("Open",G10)))</formula>
    </cfRule>
    <cfRule type="containsText" dxfId="19" priority="4" operator="containsText" text="Closed">
      <formula>NOT(ISERROR(SEARCH("Closed",G10)))</formula>
    </cfRule>
  </conditionalFormatting>
  <conditionalFormatting sqref="G9">
    <cfRule type="containsText" dxfId="18" priority="1" operator="containsText" text="Open">
      <formula>NOT(ISERROR(SEARCH("Open",G9)))</formula>
    </cfRule>
    <cfRule type="containsText" dxfId="17" priority="2" operator="containsText" text="Closed">
      <formula>NOT(ISERROR(SEARCH("Closed",G9)))</formula>
    </cfRule>
  </conditionalFormatting>
  <dataValidations xWindow="540" yWindow="653" count="1">
    <dataValidation allowBlank="1" showInputMessage="1" showErrorMessage="1" promptTitle="TAKE NOTE" prompt="Please do note edit this cell. It is automated." sqref="G9:G170" ns2:uid="{00000000-0002-0000-0100-000000000000}"/>
  </dataValidations>
  <pageMargins left="0.70866141732283472" right="0.70866141732283472" top="0.74803149606299213" bottom="0.74803149606299213" header="0.31496062992125984" footer="0.31496062992125984"/>
  <pageSetup scale="50" fitToWidth="0" fitToHeight="0" orientation="landscape" ns3:id="rId1"/>
  <drawing ns3:id="rId2"/>
  <tableParts count="1">
    <tablePart ns3:id="rId3"/>
  </tableParts>
  <extLst>
    <ext uri="{CCE6A557-97BC-4b89-ADB6-D9C93CAAB3DF}">
      <ns4:dataValidations xWindow="540" yWindow="653" count="3">
        <ns4:dataValidation type="list" allowBlank="1" showInputMessage="1" showErrorMessage="1" ns2:uid="{ED516C64-8C08-4EF9-899F-A2079AD46967}">
          <ns4:formula1>
            <ns5:f>Additions!$D$4:$D$10</ns5:f>
          </ns4:formula1>
          <ns5:sqref>H11:H170</ns5:sqref>
        </ns4:dataValidation>
        <ns4:dataValidation type="list" allowBlank="1" showInputMessage="1" showErrorMessage="1" ns2:uid="{A39EAFE8-1652-4C76-90BE-719AAC67CC77}">
          <ns4:formula1>
            <ns5:f>Additions!$I$20:$I$25</ns5:f>
          </ns4:formula1>
          <ns5:sqref>S11:S170</ns5:sqref>
        </ns4:dataValidation>
        <ns4:dataValidation type="list" allowBlank="1" showInputMessage="1" showErrorMessage="1" ns2:uid="{72E17BBF-9BBE-4D07-98DE-C05FD602F8B7}">
          <ns4:formula1>
            <ns5:f>Additions!$M$4:$M$6</ns5:f>
          </ns4:formula1>
          <ns5:sqref>W11:W170</ns5:sqref>
        </ns4:dataValidation>
      </ns4:dataValidations>
    </ext>
  </extLst>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xmlns:ns4="http://schemas.microsoft.com/office/spreadsheetml/2009/9/main" xmlns:ns5="http://schemas.microsoft.com/office/excel/2006/main" ns1:Ignorable="x14ac xr xr2 xr3" ns2:uid="{00000000-0001-0000-0000-000000000000}">
  <dimension ref="A1:U9"/>
  <sheetViews>
    <sheetView showGridLines="0" zoomScaleNormal="100" workbookViewId="0">
      <pane xSplit="7" ySplit="8" topLeftCell="H37" activePane="bottomRight" state="frozen"/>
      <selection pane="topRight" activeCell="E74" sqref="E74"/>
      <selection pane="bottomLeft" activeCell="E74" sqref="E74"/>
      <selection pane="bottomRight" activeCell="E188" sqref="E188"/>
    </sheetView>
  </sheetViews>
  <sheetFormatPr defaultColWidth="9.1796875" defaultRowHeight="14.5"/>
  <cols>
    <col min="1" max="1" width="1.26953125" style="172" customWidth="1"/>
    <col min="2" max="2" width="1.54296875" style="172" customWidth="1"/>
    <col min="3" max="3" width="9.54296875" style="211" customWidth="1"/>
    <col min="4" max="4" width="31.54296875" style="216" customWidth="1"/>
    <col min="5" max="5" width="19" style="211" customWidth="1"/>
    <col min="6" max="6" width="15" style="173" customWidth="1"/>
    <col min="7" max="7" width="15" style="211" customWidth="1"/>
    <col min="8" max="8" width="16.1796875" style="211" customWidth="1"/>
    <col min="9" max="9" width="17.81640625" style="211" customWidth="1"/>
    <col min="10" max="10" width="17.54296875" style="211" customWidth="1"/>
    <col min="11" max="11" width="34.26953125" style="211" customWidth="1"/>
    <col min="12" max="12" width="55.1796875" style="211" customWidth="1"/>
    <col min="13" max="13" width="18.81640625" style="173" customWidth="1"/>
    <col min="14" max="14" width="16.81640625" style="152" customWidth="1"/>
    <col min="15" max="15" width="57.54296875" style="172" customWidth="1"/>
    <col min="16" max="17" width="16.1796875" style="211" customWidth="1"/>
    <col min="18" max="18" width="15.81640625" style="173" customWidth="1"/>
    <col min="19" max="19" width="20.54296875" style="217" customWidth="1"/>
    <col min="20" max="20" width="14.54296875" style="218" customWidth="1"/>
    <col min="21" max="21" width="31.7265625" style="218" customWidth="1"/>
    <col min="22" max="24" width="9.1796875" style="172"/>
    <col min="25" max="25" width="30.7265625" style="172" bestFit="1" customWidth="1"/>
    <col min="26" max="26" width="8" style="172" customWidth="1"/>
    <col min="27" max="16384" width="9.1796875" style="172"/>
  </cols>
  <sheetData>
    <row r="1" spans="3:26" s="54" customFormat="1" ht="9" customHeight="1">
      <c r="C1" s="159"/>
      <c r="D1" s="180"/>
      <c r="E1" s="159"/>
      <c r="F1" s="180"/>
      <c r="G1" s="180"/>
      <c r="H1" s="180"/>
      <c r="I1"/>
      <c r="J1" s="209"/>
      <c r="K1" s="210"/>
      <c r="L1" s="210"/>
      <c r="M1"/>
      <c r="N1" s="151"/>
      <c r="O1" s="159"/>
      <c r="P1" s="181"/>
      <c r="Q1" s="159"/>
      <c r="R1" s="160"/>
      <c r="S1" s="182"/>
      <c r="T1" s="56"/>
      <c r="U1" s="74"/>
      <c r="V1" s="53"/>
      <c r="X1" s="55"/>
      <c r="Y1" s="55"/>
    </row>
    <row r="2" spans="3:26" s="54" customFormat="1" ht="5.5" customHeight="1">
      <c r="C2" s="41"/>
      <c r="D2" s="180"/>
      <c r="E2" s="159"/>
      <c r="F2" s="180"/>
      <c r="G2" s="180"/>
      <c r="H2" s="180"/>
      <c r="I2"/>
      <c r="J2" s="209"/>
      <c r="K2" s="210"/>
      <c r="L2" s="210"/>
      <c r="M2"/>
      <c r="N2" s="151"/>
      <c r="O2" s="159"/>
      <c r="P2" s="181"/>
      <c r="Q2" s="159"/>
      <c r="R2" s="160"/>
      <c r="S2" s="182"/>
      <c r="T2" s="56"/>
      <c r="U2" s="74"/>
      <c r="V2" s="53"/>
      <c r="X2" s="55"/>
      <c r="Y2" s="55"/>
    </row>
    <row r="3" spans="3:26" ht="14.5" customHeight="1">
      <c r="D3" s="183"/>
      <c r="E3" s="184"/>
      <c r="F3" s="183"/>
      <c r="G3" s="183"/>
      <c r="H3" s="183"/>
      <c r="I3"/>
      <c r="J3" s="209"/>
      <c r="K3" s="210"/>
      <c r="L3" s="210"/>
      <c r="M3"/>
      <c r="N3" s="151"/>
      <c r="O3" s="161"/>
      <c r="P3" s="185"/>
      <c r="Q3" s="161"/>
      <c r="R3" s="162"/>
      <c r="S3" s="186"/>
      <c r="T3" s="43"/>
      <c r="U3" s="1"/>
      <c r="V3" s="173"/>
      <c r="X3" s="7"/>
      <c r="Y3" s="7"/>
    </row>
    <row r="4" spans="3:26" ht="5.25" customHeight="1">
      <c r="D4" s="183"/>
      <c r="E4" s="161"/>
      <c r="F4" s="183"/>
      <c r="G4" s="183"/>
      <c r="H4" s="183"/>
      <c r="I4"/>
      <c r="J4" s="209"/>
      <c r="K4" s="210"/>
      <c r="L4" s="210"/>
      <c r="M4"/>
      <c r="N4" s="151"/>
      <c r="O4" s="161"/>
      <c r="P4" s="185"/>
      <c r="Q4" s="161"/>
      <c r="R4" s="162"/>
      <c r="S4" s="186"/>
      <c r="T4" s="43"/>
      <c r="U4" s="1"/>
      <c r="V4" s="173"/>
      <c r="X4" s="7"/>
      <c r="Y4" s="7"/>
    </row>
    <row r="5" spans="3:26" ht="20.25" customHeight="1">
      <c r="D5" s="212"/>
      <c r="E5" s="207" t="s">
        <v>237</v>
      </c>
      <c r="F5" s="207"/>
      <c r="G5" s="207"/>
      <c r="H5" s="207"/>
      <c r="I5"/>
      <c r="J5" s="209"/>
      <c r="K5" s="210"/>
      <c r="L5" s="210"/>
      <c r="M5"/>
      <c r="N5" s="151"/>
      <c r="O5" s="207"/>
      <c r="P5" s="207"/>
      <c r="Q5" s="207"/>
      <c r="R5" s="207"/>
      <c r="S5" s="207"/>
      <c r="T5" s="43"/>
      <c r="U5" s="1"/>
      <c r="V5" s="173"/>
      <c r="X5" s="7"/>
      <c r="Y5" s="7"/>
    </row>
    <row r="6" spans="3:26" ht="12" customHeight="1">
      <c r="D6" s="183"/>
      <c r="E6" s="161"/>
      <c r="F6" s="183"/>
      <c r="G6" s="183"/>
      <c r="H6" s="183"/>
      <c r="I6"/>
      <c r="J6" s="209"/>
      <c r="K6" s="210"/>
      <c r="L6" s="210"/>
      <c r="M6"/>
      <c r="N6" s="151"/>
      <c r="O6" s="161"/>
      <c r="P6" s="185"/>
      <c r="Q6" s="161"/>
      <c r="R6" s="162"/>
      <c r="S6" s="186"/>
      <c r="T6" s="43"/>
      <c r="U6" s="1"/>
      <c r="V6" s="173"/>
      <c r="X6" s="7"/>
      <c r="Y6" s="7"/>
    </row>
    <row r="7" spans="3:26" ht="29.25" customHeight="1">
      <c r="D7" s="187"/>
      <c r="E7" s="163"/>
      <c r="F7" s="188"/>
      <c r="G7" s="188"/>
      <c r="H7" s="188"/>
      <c r="I7" s="163"/>
      <c r="J7" s="164"/>
      <c r="K7" s="163"/>
      <c r="L7" s="163"/>
      <c r="M7" s="163"/>
      <c r="N7" s="189"/>
      <c r="O7" s="188"/>
      <c r="P7" s="9" t="s">
        <v>1</v>
      </c>
      <c r="Q7" s="208"/>
      <c r="R7" s="301" t="s">
        <v>3</v>
      </c>
      <c r="S7" s="302"/>
      <c r="T7" s="302"/>
      <c r="U7" s="303"/>
      <c r="V7"/>
    </row>
    <row r="8" spans="3:26" s="173" customFormat="1" ht="28.9" customHeight="1">
      <c r="C8" s="15" t="s">
        <v>4</v>
      </c>
      <c r="D8" s="174" t="s">
        <v>5</v>
      </c>
      <c r="E8" s="165" t="s">
        <v>6</v>
      </c>
      <c r="F8" s="165" t="s">
        <v>7</v>
      </c>
      <c r="G8" s="165" t="s">
        <v>8</v>
      </c>
      <c r="H8" s="165" t="s">
        <v>238</v>
      </c>
      <c r="I8" s="165" t="s">
        <v>239</v>
      </c>
      <c r="J8" s="166" t="s">
        <v>10</v>
      </c>
      <c r="K8" s="165" t="s">
        <v>240</v>
      </c>
      <c r="L8" s="165" t="s">
        <v>14</v>
      </c>
      <c r="M8" s="165" t="s">
        <v>241</v>
      </c>
      <c r="N8" s="190" t="s">
        <v>242</v>
      </c>
      <c r="O8" s="165" t="s">
        <v>15</v>
      </c>
      <c r="P8" s="165" t="s">
        <v>16</v>
      </c>
      <c r="Q8" s="165" t="s">
        <v>243</v>
      </c>
      <c r="R8" s="165" t="s">
        <v>19</v>
      </c>
      <c r="S8" s="213" t="s">
        <v>20</v>
      </c>
      <c r="T8" s="4" t="s">
        <v>244</v>
      </c>
      <c r="U8" s="4" t="s">
        <v>23</v>
      </c>
    </row>
    <row r="9" spans="3:21">
      <c r="C9" s="5"/>
      <c r="D9" s="10"/>
      <c r="E9" s="58"/>
      <c r="F9" s="58"/>
      <c r="G9" s="171"/>
      <c r="H9" s="58"/>
      <c r="I9" s="58"/>
      <c r="J9" s="16"/>
      <c r="K9" s="171"/>
      <c r="L9" s="58"/>
      <c r="M9" s="191"/>
      <c r="N9" s="192"/>
      <c r="O9" s="58"/>
      <c r="P9" s="58"/>
      <c r="Q9" s="58"/>
      <c r="R9" s="58"/>
      <c r="S9" s="10"/>
      <c r="T9" s="17"/>
      <c r="U9" s="6"/>
    </row>
  </sheetData>
  <mergeCells count="1">
    <mergeCell ref="R7:U7"/>
  </mergeCells>
  <phoneticPr fontId="11" type="noConversion"/>
  <conditionalFormatting sqref="G9:H160">
    <cfRule type="containsText" dxfId="16" priority="1" operator="containsText" text="Closed">
      <formula>NOT(ISERROR(SEARCH("Closed",G9)))</formula>
    </cfRule>
    <cfRule type="containsText" dxfId="15" priority="2" operator="containsText" text="Open">
      <formula>NOT(ISERROR(SEARCH("Open",G9)))</formula>
    </cfRule>
  </conditionalFormatting>
  <dataValidations count="1">
    <dataValidation allowBlank="1" showInputMessage="1" showErrorMessage="1" promptTitle="TAKE NOTE" prompt="Please do note edit this cell. It is automated." sqref="G9:G160" ns2:uid="{00000000-0002-0000-0000-000001000000}"/>
  </dataValidations>
  <pageMargins left="0.70866141732283472" right="0.70866141732283472" top="0.74803149606299213" bottom="0.74803149606299213" header="0.31496062992125984" footer="0.31496062992125984"/>
  <pageSetup scale="40" orientation="landscape" ns3:id="rId1"/>
  <colBreaks count="1" manualBreakCount="1">
    <brk id="19" max="1048575" man="1"/>
  </colBreaks>
  <drawing ns3:id="rId2"/>
  <tableParts count="1">
    <tablePart ns3:id="rId3"/>
  </tableParts>
  <extLst>
    <ext uri="{CCE6A557-97BC-4b89-ADB6-D9C93CAAB3DF}">
      <ns4:dataValidations count="3">
        <ns4:dataValidation type="list" allowBlank="1" showInputMessage="1" showErrorMessage="1" ns2:uid="{182F341F-E2D8-4D90-B502-41CDD882701F}">
          <ns4:formula1>
            <ns5:f>Additions!$B$4:$B$14</ns5:f>
          </ns4:formula1>
          <ns5:sqref>J11 I9:I160</ns5:sqref>
        </ns4:dataValidation>
        <ns4:dataValidation type="list" allowBlank="1" showInputMessage="1" showErrorMessage="1" ns2:uid="{836FF354-5D6B-46D8-848B-6E369255A929}">
          <ns4:formula1>
            <ns5:f>Additions!$K$4:$K$6</ns5:f>
          </ns4:formula1>
          <ns5:sqref>U9:U160</ns5:sqref>
        </ns4:dataValidation>
        <ns4:dataValidation type="list" allowBlank="1" showInputMessage="1" showErrorMessage="1" ns2:uid="{D5F3D7CA-1ADD-4E61-B538-69974F6E104C}">
          <ns4:formula1>
            <ns5:f>Additions!$H$20:$H$25</ns5:f>
          </ns4:formula1>
          <ns5:sqref>R9:R160</ns5:sqref>
        </ns4:dataValidation>
      </ns4:dataValidations>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xmlns:ns4="http://schemas.microsoft.com/office/spreadsheetml/2009/9/main" xmlns:ns5="http://schemas.microsoft.com/office/excel/2006/main" ns1:Ignorable="x14ac xr xr2 xr3" ns2:uid="{00000000-0001-0000-0200-000000000000}">
  <sheetPr>
    <pageSetUpPr fitToPage="1"/>
  </sheetPr>
  <dimension ref="A1:P9"/>
  <sheetViews>
    <sheetView showGridLines="0" zoomScale="80" zoomScaleNormal="80" zoomScaleSheetLayoutView="100" workbookViewId="0">
      <pane xSplit="7" ySplit="8" topLeftCell="H51" activePane="bottomRight" state="frozen"/>
      <selection pane="topRight" activeCell="E74" sqref="E74"/>
      <selection pane="bottomLeft" activeCell="E74" sqref="E74"/>
      <selection pane="bottomRight" activeCell="D74" sqref="D74"/>
    </sheetView>
  </sheetViews>
  <sheetFormatPr defaultColWidth="9.1796875" defaultRowHeight="14.5"/>
  <cols>
    <col min="1" max="2" width="2" style="172" customWidth="1"/>
    <col min="3" max="3" width="7.7265625" style="211" customWidth="1"/>
    <col min="4" max="4" width="31.453125" style="216" bestFit="1" customWidth="1"/>
    <col min="5" max="5" width="20.7265625" style="41" customWidth="1"/>
    <col min="6" max="8" width="15" style="211" customWidth="1"/>
    <col min="9" max="9" width="21" style="211" customWidth="1"/>
    <col min="10" max="10" width="19.81640625" style="211" customWidth="1"/>
    <col min="11" max="11" width="21.7265625" style="211" customWidth="1"/>
    <col min="12" max="12" width="34.1796875" style="211" customWidth="1"/>
    <col min="13" max="13" width="59.453125" style="211" customWidth="1"/>
    <col min="14" max="14" width="19.453125" style="211" customWidth="1"/>
    <col min="15" max="15" width="15.81640625" style="211" customWidth="1"/>
    <col min="16" max="16" width="16" style="218" customWidth="1"/>
    <col min="17" max="18" width="9.1796875" style="172"/>
    <col min="19" max="19" width="13.81640625" style="172" bestFit="1" customWidth="1"/>
    <col min="20" max="16384" width="9.1796875" style="172"/>
  </cols>
  <sheetData>
    <row r="1" spans="2:16" s="223" customFormat="1" ht="12" customHeight="1">
      <c r="C1" s="224"/>
      <c r="D1" s="225"/>
      <c r="E1" s="225"/>
      <c r="F1" s="225" t="s">
        <v>313</v>
      </c>
      <c r="G1" s="225"/>
      <c r="H1" s="225"/>
      <c r="I1" s="225"/>
      <c r="J1" s="225"/>
      <c r="K1" s="225"/>
      <c r="L1" s="226"/>
      <c r="M1" s="226"/>
      <c r="N1" s="227"/>
      <c r="O1" s="224"/>
      <c r="P1" s="228"/>
    </row>
    <row r="2" spans="2:16" s="54" customFormat="1" ht="9" customHeight="1">
      <c r="C2" s="41"/>
      <c r="D2" s="159"/>
      <c r="E2" s="159"/>
      <c r="F2" s="159"/>
      <c r="G2" s="159"/>
      <c r="H2" s="159"/>
      <c r="I2" s="159"/>
      <c r="J2" s="159"/>
      <c r="K2" s="159"/>
      <c r="L2" s="160"/>
      <c r="M2" s="160"/>
      <c r="N2" s="56"/>
      <c r="O2" s="41"/>
      <c r="P2" s="57"/>
    </row>
    <row r="3" spans="2:16" ht="9" customHeight="1">
      <c r="D3" s="161"/>
      <c r="E3" s="159"/>
      <c r="F3" s="161"/>
      <c r="G3" s="161"/>
      <c r="H3" s="161"/>
      <c r="I3" s="161"/>
      <c r="J3" s="161"/>
      <c r="K3" s="161"/>
      <c r="L3" s="162"/>
      <c r="M3" s="162"/>
      <c r="N3" s="43"/>
      <c r="P3" s="209"/>
    </row>
    <row r="4" spans="2:16" ht="5.25" customHeight="1">
      <c r="D4" s="161"/>
      <c r="E4" s="159"/>
      <c r="F4" s="161"/>
      <c r="G4" s="161"/>
      <c r="H4" s="161"/>
      <c r="I4" s="161"/>
      <c r="J4" s="161"/>
      <c r="K4" s="161"/>
      <c r="L4" s="162"/>
      <c r="M4" s="162"/>
      <c r="N4" s="43"/>
      <c r="P4" s="209"/>
    </row>
    <row r="5" spans="2:16" ht="20.25" customHeight="1">
      <c r="D5" s="211"/>
      <c r="E5" s="304" t="s">
        <v>314</v>
      </c>
      <c r="F5" s="304"/>
      <c r="G5" s="304"/>
      <c r="H5" s="304"/>
      <c r="I5" s="304"/>
      <c r="J5" s="304"/>
      <c r="K5" s="304"/>
      <c r="L5" s="304"/>
      <c r="M5" s="304"/>
      <c r="N5" s="43"/>
      <c r="P5" s="209"/>
    </row>
    <row r="6" spans="2:16" ht="12" customHeight="1">
      <c r="D6" s="161"/>
      <c r="E6" s="159"/>
      <c r="F6" s="161"/>
      <c r="G6" s="161"/>
      <c r="H6" s="161"/>
      <c r="I6" s="161"/>
      <c r="J6" s="161"/>
      <c r="K6" s="161"/>
      <c r="L6" s="162"/>
      <c r="M6" s="162"/>
      <c r="N6" s="43"/>
      <c r="P6" s="209"/>
    </row>
    <row r="7" spans="2:16" ht="29.25" customHeight="1">
      <c r="D7" s="229"/>
      <c r="E7" s="230"/>
      <c r="F7" s="163"/>
      <c r="G7" s="163"/>
      <c r="H7" s="163"/>
      <c r="I7" s="163"/>
      <c r="J7" s="163"/>
      <c r="K7" s="163"/>
      <c r="L7" s="163"/>
      <c r="M7" s="163"/>
      <c r="N7" s="9" t="s">
        <v>1</v>
      </c>
      <c r="O7" s="301" t="s">
        <v>3</v>
      </c>
      <c r="P7" s="302"/>
    </row>
    <row r="8" spans="2:16" s="173" customFormat="1" ht="35.25" customHeight="1">
      <c r="C8" s="15" t="s">
        <v>4</v>
      </c>
      <c r="D8" s="174" t="s">
        <v>5</v>
      </c>
      <c r="E8" s="231" t="s">
        <v>6</v>
      </c>
      <c r="F8" s="165" t="s">
        <v>7</v>
      </c>
      <c r="G8" s="165" t="s">
        <v>8</v>
      </c>
      <c r="H8" s="165" t="s">
        <v>238</v>
      </c>
      <c r="I8" s="165" t="s">
        <v>239</v>
      </c>
      <c r="J8" s="165" t="s">
        <v>315</v>
      </c>
      <c r="K8" s="165" t="s">
        <v>240</v>
      </c>
      <c r="L8" s="165" t="s">
        <v>14</v>
      </c>
      <c r="M8" s="165" t="s">
        <v>15</v>
      </c>
      <c r="N8" s="165" t="s">
        <v>316</v>
      </c>
      <c r="O8" s="165" t="s">
        <v>19</v>
      </c>
      <c r="P8" s="4" t="s">
        <v>22</v>
      </c>
    </row>
    <row r="9" spans="3:16">
      <c r="C9" s="154"/>
      <c r="D9" s="10"/>
      <c r="E9" s="8"/>
      <c r="F9" s="58"/>
      <c r="G9" s="58"/>
      <c r="H9" s="58"/>
      <c r="I9" s="58"/>
      <c r="J9" s="58"/>
      <c r="K9" s="5"/>
      <c r="L9" s="5"/>
      <c r="M9" s="5"/>
      <c r="N9" s="171"/>
      <c r="O9" s="58"/>
      <c r="P9" s="17"/>
    </row>
  </sheetData>
  <mergeCells count="2">
    <mergeCell ref="E5:M5"/>
    <mergeCell ref="O7:P7"/>
  </mergeCells>
  <phoneticPr fontId="11" type="noConversion"/>
  <conditionalFormatting sqref="G9:G14 G15:H15">
    <cfRule type="containsText" dxfId="14" priority="13" operator="containsText" text="Closed">
      <formula>NOT(ISERROR(SEARCH("Closed",G9)))</formula>
    </cfRule>
    <cfRule type="containsText" dxfId="13" priority="14" operator="containsText" text="Open">
      <formula>NOT(ISERROR(SEARCH("Open",G9)))</formula>
    </cfRule>
    <cfRule type="containsText" dxfId="12" priority="15" operator="containsText" text="Closed">
      <formula>NOT(ISERROR(SEARCH("Closed",G9)))</formula>
    </cfRule>
    <cfRule type="containsText" dxfId="11" priority="16" operator="containsText" text="Open">
      <formula>NOT(ISERROR(SEARCH("Open",G9)))</formula>
    </cfRule>
  </conditionalFormatting>
  <conditionalFormatting sqref="I31 H74:H123 G74:G146 G16:H91">
    <cfRule type="containsText" dxfId="10" priority="65" operator="containsText" text="Closed">
      <formula>NOT(ISERROR(SEARCH("Closed",G16)))</formula>
    </cfRule>
    <cfRule type="containsText" dxfId="9" priority="66" operator="containsText" text="Open">
      <formula>NOT(ISERROR(SEARCH("Open",G16)))</formula>
    </cfRule>
  </conditionalFormatting>
  <conditionalFormatting sqref="I31">
    <cfRule type="containsText" dxfId="8" priority="27" operator="containsText" text="Closed">
      <formula>NOT(ISERROR(SEARCH("Closed",I31)))</formula>
    </cfRule>
    <cfRule type="containsText" dxfId="7" priority="28" operator="containsText" text="Open">
      <formula>NOT(ISERROR(SEARCH("Open",I31)))</formula>
    </cfRule>
  </conditionalFormatting>
  <conditionalFormatting sqref="H9:H10">
    <cfRule type="containsText" dxfId="6" priority="9" operator="containsText" text="Closed">
      <formula>NOT(ISERROR(SEARCH("Closed",H9)))</formula>
    </cfRule>
    <cfRule type="containsText" dxfId="5" priority="10" operator="containsText" text="Open">
      <formula>NOT(ISERROR(SEARCH("Open",H9)))</formula>
    </cfRule>
    <cfRule type="containsText" dxfId="4" priority="11" operator="containsText" text="Closed">
      <formula>NOT(ISERROR(SEARCH("Closed",H9)))</formula>
    </cfRule>
    <cfRule type="containsText" dxfId="3" priority="12" operator="containsText" text="Open">
      <formula>NOT(ISERROR(SEARCH("Open",H9)))</formula>
    </cfRule>
  </conditionalFormatting>
  <conditionalFormatting sqref="H49:H50">
    <cfRule type="containsText" dxfId="2" priority="25" operator="containsText" text="Closed">
      <formula>NOT(ISERROR(SEARCH("Closed",H49)))</formula>
    </cfRule>
    <cfRule type="containsText" dxfId="1" priority="26" operator="containsText" text="Open">
      <formula>NOT(ISERROR(SEARCH("Open",H49)))</formula>
    </cfRule>
  </conditionalFormatting>
  <dataValidations xWindow="545" yWindow="547" count="2">
    <dataValidation allowBlank="1" showErrorMessage="1" sqref="I31 H92:H1048576 H1:H90" ns2:uid="{DC52CC60-FAAD-4D56-B2D2-8EFF1AD1185F}"/>
    <dataValidation allowBlank="1" showInputMessage="1" showErrorMessage="1" promptTitle="TAKE NOTE" prompt="Please do note edit this cell. It is automated." sqref="H91 G9:G147" ns2:uid="{00000000-0002-0000-0200-000000000000}"/>
  </dataValidations>
  <pageMargins left="0.70866141732283472" right="0.70866141732283472" top="0.74803149606299213" bottom="0.74803149606299213" header="0.31496062992125984" footer="0.31496062992125984"/>
  <pageSetup scale="38" fitToHeight="0" orientation="landscape" ns3:id="rId1"/>
  <drawing ns3:id="rId2"/>
  <tableParts count="1">
    <tablePart ns3:id="rId3"/>
  </tableParts>
  <extLst>
    <ext uri="{CCE6A557-97BC-4b89-ADB6-D9C93CAAB3DF}">
      <ns4:dataValidations xWindow="545" yWindow="547" count="2">
        <ns4:dataValidation type="list" allowBlank="1" showInputMessage="1" showErrorMessage="1" ns2:uid="{8F4D6167-BE2B-440A-8AB5-C9B9FC57C9F7}">
          <ns4:formula1>
            <ns5:f>Additions!$F$4:$F$16</ns5:f>
          </ns4:formula1>
          <ns5:sqref>I15:I30 I32:I146</ns5:sqref>
        </ns4:dataValidation>
        <ns4:dataValidation type="list" allowBlank="1" showInputMessage="1" showErrorMessage="1" ns2:uid="{00000000-0002-0000-0200-000002000000}">
          <ns4:formula1>
            <ns5:f>Additions!$J$20:$J$25</ns5:f>
          </ns4:formula1>
          <ns5:sqref>O9:O147</ns5:sqref>
        </ns4:dataValidation>
      </ns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5699B-FDA2-4B33-913E-9C28E2E484ED}">
  <dimension ref="B1:M25"/>
  <sheetViews>
    <sheetView workbookViewId="0">
      <selection activeCell="D10" sqref="D10"/>
    </sheetView>
  </sheetViews>
  <sheetFormatPr defaultRowHeight="14.5"/>
  <cols>
    <col min="2" max="2" width="15.7265625" bestFit="1" customWidth="1"/>
    <col min="4" max="4" width="16" bestFit="1" customWidth="1"/>
    <col min="6" max="6" width="19.54296875" bestFit="1" customWidth="1"/>
    <col min="7" max="7" width="6" customWidth="1"/>
    <col min="8" max="8" width="15.81640625" customWidth="1"/>
    <col min="9" max="9" width="15.26953125" bestFit="1" customWidth="1"/>
    <col min="10" max="10" width="15.54296875" customWidth="1"/>
    <col min="11" max="11" width="50.81640625" customWidth="1"/>
    <col min="13" max="13" width="55.7265625" customWidth="1"/>
  </cols>
  <sheetData>
    <row r="1" spans="2:13" ht="15.5">
      <c r="B1" s="305" t="s">
        <v>637</v>
      </c>
      <c r="C1" s="305"/>
      <c r="D1" s="305"/>
      <c r="E1" s="305"/>
      <c r="F1" s="305"/>
      <c r="G1" s="45"/>
    </row>
    <row r="2" spans="2:13">
      <c r="K2" s="47" t="s">
        <v>638</v>
      </c>
      <c r="M2" s="15" t="s">
        <v>639</v>
      </c>
    </row>
    <row r="3" spans="2:13">
      <c r="B3" s="116" t="s">
        <v>640</v>
      </c>
      <c r="D3" s="117" t="s">
        <v>641</v>
      </c>
      <c r="F3" s="116" t="s">
        <v>320</v>
      </c>
    </row>
    <row r="4" spans="2:13">
      <c r="B4" s="114"/>
      <c r="D4" s="62"/>
      <c r="F4" s="114"/>
    </row>
    <row r="5" spans="2:13" ht="34.5" customHeight="1">
      <c r="B5" s="114" t="s">
        <v>642</v>
      </c>
      <c r="D5" s="62" t="s">
        <v>643</v>
      </c>
      <c r="F5" s="114" t="s">
        <v>556</v>
      </c>
      <c r="K5" s="46" t="s">
        <v>644</v>
      </c>
      <c r="M5" s="5" t="s">
        <v>46</v>
      </c>
    </row>
    <row r="6" spans="2:13" ht="29">
      <c r="B6" s="114" t="s">
        <v>273</v>
      </c>
      <c r="D6" s="62" t="s">
        <v>645</v>
      </c>
      <c r="F6" s="114" t="s">
        <v>273</v>
      </c>
      <c r="K6" s="17" t="s">
        <v>251</v>
      </c>
      <c r="M6" s="5" t="s">
        <v>50</v>
      </c>
    </row>
    <row r="7" spans="2:13">
      <c r="B7" s="114" t="s">
        <v>247</v>
      </c>
      <c r="D7" s="62" t="s">
        <v>646</v>
      </c>
      <c r="F7" s="114" t="s">
        <v>247</v>
      </c>
    </row>
    <row r="8" spans="2:13">
      <c r="B8" s="114" t="s">
        <v>298</v>
      </c>
      <c r="D8" s="62" t="s">
        <v>27</v>
      </c>
      <c r="F8" s="114" t="s">
        <v>298</v>
      </c>
    </row>
    <row r="9" spans="2:13">
      <c r="B9" s="114" t="s">
        <v>647</v>
      </c>
      <c r="D9" s="62" t="s">
        <v>648</v>
      </c>
      <c r="F9" s="114" t="s">
        <v>649</v>
      </c>
    </row>
    <row r="10" spans="2:13">
      <c r="B10" s="114" t="s">
        <v>254</v>
      </c>
      <c r="D10" t="s">
        <v>650</v>
      </c>
      <c r="F10" s="114" t="s">
        <v>647</v>
      </c>
    </row>
    <row r="11" spans="2:13">
      <c r="B11" s="114" t="s">
        <v>651</v>
      </c>
      <c r="F11" s="114" t="s">
        <v>254</v>
      </c>
    </row>
    <row r="12" spans="2:13">
      <c r="B12" s="114" t="s">
        <v>652</v>
      </c>
      <c r="F12" s="114" t="s">
        <v>653</v>
      </c>
    </row>
    <row r="13" spans="2:13">
      <c r="B13" s="114" t="s">
        <v>271</v>
      </c>
      <c r="F13" s="114" t="s">
        <v>552</v>
      </c>
    </row>
    <row r="14" spans="2:13">
      <c r="B14" s="113" t="s">
        <v>556</v>
      </c>
      <c r="F14" s="114" t="s">
        <v>271</v>
      </c>
    </row>
    <row r="15" spans="2:13" ht="29">
      <c r="F15" s="115" t="s">
        <v>654</v>
      </c>
    </row>
    <row r="16" spans="2:13">
      <c r="F16" s="113" t="s">
        <v>642</v>
      </c>
    </row>
    <row r="19" spans="8:10" ht="29">
      <c r="H19" s="106" t="s">
        <v>655</v>
      </c>
      <c r="I19" s="107" t="s">
        <v>656</v>
      </c>
      <c r="J19" s="107" t="s">
        <v>657</v>
      </c>
    </row>
    <row r="20" spans="8:10">
      <c r="H20" s="62"/>
      <c r="I20" s="62"/>
      <c r="J20" s="62"/>
    </row>
    <row r="21" spans="8:10">
      <c r="H21" s="62" t="s">
        <v>575</v>
      </c>
      <c r="I21" s="62" t="s">
        <v>575</v>
      </c>
      <c r="J21" s="62" t="s">
        <v>575</v>
      </c>
    </row>
    <row r="22" spans="8:10">
      <c r="H22" s="62" t="s">
        <v>31</v>
      </c>
      <c r="I22" s="62" t="s">
        <v>31</v>
      </c>
      <c r="J22" s="62" t="s">
        <v>31</v>
      </c>
    </row>
    <row r="23" spans="8:10">
      <c r="H23" s="62" t="s">
        <v>373</v>
      </c>
      <c r="I23" s="62" t="s">
        <v>373</v>
      </c>
      <c r="J23" s="62" t="s">
        <v>373</v>
      </c>
    </row>
    <row r="24" spans="8:10">
      <c r="H24" s="62" t="s">
        <v>658</v>
      </c>
      <c r="I24" s="62" t="s">
        <v>658</v>
      </c>
      <c r="J24" s="62" t="s">
        <v>658</v>
      </c>
    </row>
    <row r="25" spans="8:10">
      <c r="H25" s="62" t="s">
        <v>40</v>
      </c>
      <c r="I25" s="62" t="s">
        <v>40</v>
      </c>
      <c r="J25" s="62" t="s">
        <v>40</v>
      </c>
    </row>
  </sheetData>
  <mergeCells count="1">
    <mergeCell ref="B1:F1"/>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96"/>
  <sheetViews>
    <sheetView showGridLines="0" workbookViewId="0">
      <pane ySplit="2" topLeftCell="A34" activePane="bottomLeft" state="frozen"/>
      <selection activeCell="S9" sqref="S9:S161"/>
      <selection pane="bottomLeft" activeCell="D46" sqref="D46"/>
    </sheetView>
  </sheetViews>
  <sheetFormatPr defaultRowHeight="14.5"/>
  <cols>
    <col min="2" max="2" width="5.7265625" customWidth="1"/>
    <col min="3" max="3" width="4.54296875" customWidth="1"/>
    <col min="4" max="4" width="19.81640625" style="7" customWidth="1"/>
    <col min="5" max="5" width="51.54296875" bestFit="1" customWidth="1"/>
    <col min="6" max="6" width="46.1796875" customWidth="1"/>
  </cols>
  <sheetData>
    <row r="2" spans="2:6" ht="30" customHeight="1">
      <c r="B2" s="13" t="s">
        <v>659</v>
      </c>
      <c r="D2" s="22" t="s">
        <v>660</v>
      </c>
      <c r="E2" s="22" t="s">
        <v>661</v>
      </c>
      <c r="F2" s="22" t="s">
        <v>662</v>
      </c>
    </row>
    <row r="3" spans="2:6">
      <c r="B3" s="20"/>
      <c r="D3" s="32"/>
      <c r="E3" s="236"/>
      <c r="F3" s="33"/>
    </row>
    <row r="4" spans="2:6">
      <c r="B4" s="20">
        <v>1</v>
      </c>
      <c r="D4" s="14">
        <v>5550000190</v>
      </c>
      <c r="E4" s="62" t="s">
        <v>663</v>
      </c>
      <c r="F4" s="62" t="s">
        <v>664</v>
      </c>
    </row>
    <row r="5" spans="2:6">
      <c r="B5" s="20">
        <v>2</v>
      </c>
      <c r="D5" s="14">
        <v>5550000223</v>
      </c>
      <c r="E5" s="62" t="s">
        <v>665</v>
      </c>
      <c r="F5" s="62" t="s">
        <v>666</v>
      </c>
    </row>
    <row r="6" spans="2:6">
      <c r="B6" s="20">
        <v>3</v>
      </c>
      <c r="D6" s="14">
        <v>5550000224</v>
      </c>
      <c r="E6" s="62" t="s">
        <v>667</v>
      </c>
      <c r="F6" s="62" t="s">
        <v>668</v>
      </c>
    </row>
    <row r="7" spans="2:6">
      <c r="B7" s="20">
        <v>4</v>
      </c>
      <c r="D7" s="14">
        <v>5550000280</v>
      </c>
      <c r="E7" s="62" t="s">
        <v>669</v>
      </c>
      <c r="F7" s="62" t="s">
        <v>664</v>
      </c>
    </row>
    <row r="8" spans="2:6">
      <c r="B8" s="20">
        <v>5</v>
      </c>
      <c r="D8" s="14">
        <v>5550000281</v>
      </c>
      <c r="E8" s="62" t="s">
        <v>670</v>
      </c>
      <c r="F8" s="62" t="s">
        <v>664</v>
      </c>
    </row>
    <row r="9" spans="2:6">
      <c r="B9" s="20">
        <v>6</v>
      </c>
      <c r="D9" s="14">
        <v>5550000346</v>
      </c>
      <c r="E9" s="62" t="s">
        <v>671</v>
      </c>
      <c r="F9" s="62" t="s">
        <v>664</v>
      </c>
    </row>
    <row r="10" spans="2:6">
      <c r="B10" s="20">
        <v>7</v>
      </c>
      <c r="D10" s="14">
        <v>5550000384</v>
      </c>
      <c r="E10" s="62" t="s">
        <v>672</v>
      </c>
      <c r="F10" s="62" t="s">
        <v>673</v>
      </c>
    </row>
    <row r="11" spans="2:6">
      <c r="B11" s="20">
        <v>8</v>
      </c>
      <c r="D11" s="14">
        <v>5550000398</v>
      </c>
      <c r="E11" s="62" t="s">
        <v>674</v>
      </c>
      <c r="F11" s="62" t="s">
        <v>675</v>
      </c>
    </row>
    <row r="12" spans="2:6">
      <c r="B12" s="20">
        <v>9</v>
      </c>
      <c r="D12" s="14">
        <v>5550000399</v>
      </c>
      <c r="E12" s="62" t="s">
        <v>676</v>
      </c>
      <c r="F12" s="62" t="s">
        <v>675</v>
      </c>
    </row>
    <row r="13" spans="2:6">
      <c r="B13" s="20">
        <v>10</v>
      </c>
      <c r="D13" s="14">
        <v>5550000618</v>
      </c>
      <c r="E13" s="62" t="s">
        <v>677</v>
      </c>
      <c r="F13" s="62" t="s">
        <v>678</v>
      </c>
    </row>
    <row r="14" spans="2:6">
      <c r="B14" s="20">
        <v>11</v>
      </c>
      <c r="D14" s="14">
        <v>5550000619</v>
      </c>
      <c r="E14" s="62" t="s">
        <v>679</v>
      </c>
      <c r="F14" s="62" t="s">
        <v>678</v>
      </c>
    </row>
    <row r="15" spans="2:6">
      <c r="B15" s="20">
        <v>12</v>
      </c>
      <c r="D15" s="14">
        <v>5550000620</v>
      </c>
      <c r="E15" s="62" t="s">
        <v>680</v>
      </c>
      <c r="F15" s="62" t="s">
        <v>675</v>
      </c>
    </row>
    <row r="16" spans="2:6">
      <c r="B16" s="20">
        <v>13</v>
      </c>
      <c r="D16" s="14">
        <v>5550000641</v>
      </c>
      <c r="E16" s="62" t="s">
        <v>681</v>
      </c>
      <c r="F16" s="62" t="s">
        <v>682</v>
      </c>
    </row>
    <row r="17" spans="2:6">
      <c r="B17" s="20">
        <v>14</v>
      </c>
      <c r="D17" s="14">
        <v>5550000735</v>
      </c>
      <c r="E17" s="62" t="s">
        <v>683</v>
      </c>
      <c r="F17" s="62" t="s">
        <v>684</v>
      </c>
    </row>
    <row r="18" spans="2:6">
      <c r="B18" s="20">
        <v>15</v>
      </c>
      <c r="D18" s="14">
        <v>5550000906</v>
      </c>
      <c r="E18" s="62" t="s">
        <v>685</v>
      </c>
      <c r="F18" s="62" t="s">
        <v>686</v>
      </c>
    </row>
    <row r="19" spans="2:6">
      <c r="B19" s="20">
        <v>16</v>
      </c>
      <c r="D19" s="14">
        <v>5550000912</v>
      </c>
      <c r="E19" s="62" t="s">
        <v>687</v>
      </c>
      <c r="F19" s="62" t="s">
        <v>688</v>
      </c>
    </row>
    <row r="20" spans="2:6">
      <c r="B20" s="20">
        <v>17</v>
      </c>
      <c r="D20" s="14">
        <v>5550000950</v>
      </c>
      <c r="E20" s="62" t="s">
        <v>689</v>
      </c>
      <c r="F20" s="62" t="s">
        <v>690</v>
      </c>
    </row>
    <row r="21" spans="2:6">
      <c r="B21" s="20">
        <v>18</v>
      </c>
      <c r="D21" s="14">
        <v>5550000956</v>
      </c>
      <c r="E21" s="62" t="s">
        <v>691</v>
      </c>
      <c r="F21" s="62" t="s">
        <v>675</v>
      </c>
    </row>
    <row r="22" spans="2:6">
      <c r="B22" s="20">
        <v>19</v>
      </c>
      <c r="D22" s="14">
        <v>5550000957</v>
      </c>
      <c r="E22" s="62" t="s">
        <v>692</v>
      </c>
      <c r="F22" s="62" t="s">
        <v>675</v>
      </c>
    </row>
    <row r="23" spans="2:6">
      <c r="B23" s="20">
        <v>20</v>
      </c>
      <c r="D23" s="14">
        <v>5550001005</v>
      </c>
      <c r="E23" s="62" t="s">
        <v>693</v>
      </c>
      <c r="F23" s="62" t="s">
        <v>688</v>
      </c>
    </row>
    <row r="24" spans="2:6">
      <c r="B24" s="20">
        <v>21</v>
      </c>
      <c r="D24" s="14">
        <v>5550001008</v>
      </c>
      <c r="E24" s="62" t="s">
        <v>694</v>
      </c>
      <c r="F24" s="62" t="s">
        <v>695</v>
      </c>
    </row>
    <row r="25" spans="2:6">
      <c r="B25" s="20">
        <v>22</v>
      </c>
      <c r="D25" s="14">
        <v>5550001010</v>
      </c>
      <c r="E25" s="62" t="s">
        <v>696</v>
      </c>
      <c r="F25" s="62" t="s">
        <v>695</v>
      </c>
    </row>
    <row r="26" spans="2:6">
      <c r="B26" s="20">
        <v>23</v>
      </c>
      <c r="D26" s="14">
        <v>5550001231</v>
      </c>
      <c r="E26" s="62" t="s">
        <v>697</v>
      </c>
      <c r="F26" s="62" t="s">
        <v>698</v>
      </c>
    </row>
    <row r="27" spans="2:6">
      <c r="B27" s="20">
        <v>24</v>
      </c>
      <c r="D27" s="14">
        <v>5550001258</v>
      </c>
      <c r="E27" s="62" t="s">
        <v>699</v>
      </c>
      <c r="F27" s="62" t="s">
        <v>700</v>
      </c>
    </row>
    <row r="28" spans="2:6">
      <c r="B28" s="20">
        <v>25</v>
      </c>
      <c r="D28" s="14">
        <v>5550001280</v>
      </c>
      <c r="E28" s="62" t="s">
        <v>701</v>
      </c>
      <c r="F28" s="62" t="s">
        <v>702</v>
      </c>
    </row>
    <row r="29" spans="2:6">
      <c r="B29" s="20">
        <v>26</v>
      </c>
      <c r="D29" s="14">
        <v>5550001331</v>
      </c>
      <c r="E29" s="62" t="s">
        <v>703</v>
      </c>
      <c r="F29" s="62" t="s">
        <v>704</v>
      </c>
    </row>
    <row r="30" spans="2:6">
      <c r="B30" s="20">
        <v>27</v>
      </c>
      <c r="D30" s="14">
        <v>5550001332</v>
      </c>
      <c r="E30" s="62" t="s">
        <v>705</v>
      </c>
      <c r="F30" s="62" t="s">
        <v>704</v>
      </c>
    </row>
    <row r="31" spans="2:6">
      <c r="B31" s="20">
        <v>28</v>
      </c>
      <c r="D31" s="14">
        <v>5550001368</v>
      </c>
      <c r="E31" s="62" t="s">
        <v>706</v>
      </c>
      <c r="F31" s="62" t="s">
        <v>698</v>
      </c>
    </row>
    <row r="32" spans="2:6">
      <c r="B32" s="20">
        <v>29</v>
      </c>
      <c r="D32" s="14">
        <v>5550001528</v>
      </c>
      <c r="E32" s="62" t="s">
        <v>35</v>
      </c>
      <c r="F32" s="62" t="s">
        <v>36</v>
      </c>
    </row>
    <row r="33" spans="2:12">
      <c r="B33" s="20">
        <v>30</v>
      </c>
      <c r="D33" s="14">
        <v>5550001616</v>
      </c>
      <c r="E33" s="62" t="s">
        <v>707</v>
      </c>
      <c r="F33" s="62" t="s">
        <v>708</v>
      </c>
    </row>
    <row r="34" spans="2:12">
      <c r="B34" s="20">
        <v>31</v>
      </c>
      <c r="D34" s="14">
        <v>5550001617</v>
      </c>
      <c r="E34" s="62" t="s">
        <v>709</v>
      </c>
      <c r="F34" s="62" t="s">
        <v>710</v>
      </c>
    </row>
    <row r="35" spans="2:12">
      <c r="B35" s="20">
        <v>32</v>
      </c>
      <c r="D35" s="14">
        <v>5550001620</v>
      </c>
      <c r="E35" s="62" t="s">
        <v>711</v>
      </c>
      <c r="F35" s="62" t="s">
        <v>708</v>
      </c>
    </row>
    <row r="36" spans="2:12">
      <c r="B36" s="20">
        <v>33</v>
      </c>
      <c r="D36" s="14">
        <v>5550001621</v>
      </c>
      <c r="E36" s="62" t="s">
        <v>712</v>
      </c>
      <c r="F36" s="62" t="s">
        <v>708</v>
      </c>
      <c r="L36" s="131"/>
    </row>
    <row r="37" spans="2:12">
      <c r="B37" s="20">
        <v>34</v>
      </c>
      <c r="D37" s="14">
        <v>5550001639</v>
      </c>
      <c r="E37" s="62" t="s">
        <v>713</v>
      </c>
      <c r="F37" s="62" t="s">
        <v>708</v>
      </c>
    </row>
    <row r="38" spans="2:12">
      <c r="B38" s="20">
        <v>35</v>
      </c>
      <c r="D38" s="14">
        <v>5550001817</v>
      </c>
      <c r="E38" s="62" t="s">
        <v>714</v>
      </c>
      <c r="F38" s="62" t="s">
        <v>715</v>
      </c>
    </row>
    <row r="39" spans="2:12">
      <c r="B39" s="20">
        <v>36</v>
      </c>
      <c r="D39" s="14">
        <v>5550001910</v>
      </c>
      <c r="E39" s="62" t="s">
        <v>716</v>
      </c>
      <c r="F39" s="62" t="s">
        <v>717</v>
      </c>
    </row>
    <row r="40" spans="2:12">
      <c r="B40" s="20">
        <v>37</v>
      </c>
      <c r="D40" s="14">
        <v>5550001911</v>
      </c>
      <c r="E40" s="62" t="s">
        <v>718</v>
      </c>
      <c r="F40" s="62" t="s">
        <v>719</v>
      </c>
      <c r="J40" s="130"/>
    </row>
    <row r="41" spans="2:12">
      <c r="B41" s="20">
        <v>38</v>
      </c>
      <c r="D41" s="14">
        <v>5550001912</v>
      </c>
      <c r="E41" s="62" t="s">
        <v>720</v>
      </c>
      <c r="F41" s="62" t="s">
        <v>721</v>
      </c>
    </row>
    <row r="42" spans="2:12">
      <c r="B42" s="20">
        <v>39</v>
      </c>
      <c r="D42" s="14">
        <v>5550001913</v>
      </c>
      <c r="E42" s="62" t="s">
        <v>722</v>
      </c>
      <c r="F42" s="62" t="s">
        <v>723</v>
      </c>
    </row>
    <row r="43" spans="2:12">
      <c r="B43" s="20">
        <v>40</v>
      </c>
      <c r="D43" s="14">
        <v>5550002023</v>
      </c>
      <c r="E43" s="62" t="s">
        <v>724</v>
      </c>
      <c r="F43" s="62" t="s">
        <v>725</v>
      </c>
    </row>
    <row r="44" spans="2:12">
      <c r="B44" s="20">
        <v>41</v>
      </c>
      <c r="D44" s="14">
        <v>5550002024</v>
      </c>
      <c r="E44" s="62" t="s">
        <v>726</v>
      </c>
      <c r="F44" s="62" t="s">
        <v>725</v>
      </c>
    </row>
    <row r="45" spans="2:12">
      <c r="B45" s="20">
        <v>42</v>
      </c>
      <c r="D45" s="14">
        <v>5550002132</v>
      </c>
      <c r="E45" s="62" t="s">
        <v>727</v>
      </c>
      <c r="F45" s="62" t="s">
        <v>728</v>
      </c>
    </row>
    <row r="46" spans="2:12">
      <c r="B46" s="20">
        <v>43</v>
      </c>
      <c r="D46" s="14">
        <v>5550002641</v>
      </c>
      <c r="E46" s="62" t="s">
        <v>729</v>
      </c>
      <c r="F46" s="62" t="s">
        <v>730</v>
      </c>
    </row>
    <row r="47" spans="2:12">
      <c r="B47" s="20">
        <v>44</v>
      </c>
      <c r="D47" s="14">
        <v>5550002654</v>
      </c>
      <c r="E47" s="62" t="s">
        <v>731</v>
      </c>
      <c r="F47" s="62" t="s">
        <v>730</v>
      </c>
    </row>
    <row r="48" spans="2:12">
      <c r="B48" s="20">
        <v>45</v>
      </c>
      <c r="D48" s="14">
        <v>5550002662</v>
      </c>
      <c r="E48" s="62" t="s">
        <v>732</v>
      </c>
      <c r="F48" s="62" t="s">
        <v>733</v>
      </c>
    </row>
    <row r="49" spans="2:6">
      <c r="B49" s="20">
        <v>46</v>
      </c>
      <c r="D49" s="14">
        <v>5550002663</v>
      </c>
      <c r="E49" s="62" t="s">
        <v>734</v>
      </c>
      <c r="F49" s="62" t="s">
        <v>733</v>
      </c>
    </row>
    <row r="50" spans="2:6">
      <c r="B50" s="20">
        <v>47</v>
      </c>
      <c r="D50" s="14">
        <v>5550002664</v>
      </c>
      <c r="E50" s="62" t="s">
        <v>735</v>
      </c>
      <c r="F50" s="62" t="s">
        <v>736</v>
      </c>
    </row>
    <row r="51" spans="2:6">
      <c r="B51" s="20">
        <v>48</v>
      </c>
      <c r="D51" s="14">
        <v>5550002665</v>
      </c>
      <c r="E51" s="62" t="s">
        <v>737</v>
      </c>
      <c r="F51" s="62" t="s">
        <v>736</v>
      </c>
    </row>
    <row r="52" spans="2:6">
      <c r="B52" s="20">
        <v>49</v>
      </c>
      <c r="D52" s="14">
        <v>5550002666</v>
      </c>
      <c r="E52" s="62" t="s">
        <v>738</v>
      </c>
      <c r="F52" s="62" t="s">
        <v>736</v>
      </c>
    </row>
    <row r="53" spans="2:6">
      <c r="B53" s="20">
        <v>50</v>
      </c>
      <c r="D53" s="14">
        <v>5550002667</v>
      </c>
      <c r="E53" s="62" t="s">
        <v>739</v>
      </c>
      <c r="F53" s="62" t="s">
        <v>736</v>
      </c>
    </row>
    <row r="54" spans="2:6">
      <c r="B54" s="20">
        <v>51</v>
      </c>
      <c r="D54" s="14">
        <v>5550002686</v>
      </c>
      <c r="E54" s="62" t="s">
        <v>740</v>
      </c>
      <c r="F54" s="62" t="s">
        <v>736</v>
      </c>
    </row>
    <row r="55" spans="2:6">
      <c r="B55" s="20">
        <v>52</v>
      </c>
      <c r="D55" s="14">
        <v>5550002888</v>
      </c>
      <c r="E55" s="62" t="s">
        <v>741</v>
      </c>
      <c r="F55" s="62" t="s">
        <v>742</v>
      </c>
    </row>
    <row r="56" spans="2:6">
      <c r="B56" s="20">
        <v>53</v>
      </c>
      <c r="D56" s="14">
        <v>5550002902</v>
      </c>
      <c r="E56" s="62" t="s">
        <v>743</v>
      </c>
      <c r="F56" s="62" t="s">
        <v>744</v>
      </c>
    </row>
    <row r="57" spans="2:6">
      <c r="B57" s="20">
        <v>54</v>
      </c>
      <c r="D57" s="14">
        <v>5550002911</v>
      </c>
      <c r="E57" s="62" t="s">
        <v>745</v>
      </c>
      <c r="F57" s="62" t="s">
        <v>746</v>
      </c>
    </row>
    <row r="58" spans="2:6">
      <c r="B58" s="20">
        <v>55</v>
      </c>
      <c r="D58" s="14">
        <v>5550002912</v>
      </c>
      <c r="E58" s="62" t="s">
        <v>747</v>
      </c>
      <c r="F58" s="62" t="s">
        <v>746</v>
      </c>
    </row>
    <row r="59" spans="2:6">
      <c r="B59" s="20">
        <v>56</v>
      </c>
      <c r="D59" s="14">
        <v>5550002930</v>
      </c>
      <c r="E59" s="62" t="s">
        <v>748</v>
      </c>
      <c r="F59" s="62" t="s">
        <v>749</v>
      </c>
    </row>
    <row r="60" spans="2:6">
      <c r="B60" s="20">
        <v>57</v>
      </c>
      <c r="D60" s="14">
        <v>5550002965</v>
      </c>
      <c r="E60" s="62" t="s">
        <v>28</v>
      </c>
      <c r="F60" s="62" t="s">
        <v>29</v>
      </c>
    </row>
    <row r="61" spans="2:6">
      <c r="B61" s="20">
        <v>58</v>
      </c>
      <c r="D61" s="14">
        <v>5550002995</v>
      </c>
      <c r="E61" s="62" t="s">
        <v>750</v>
      </c>
      <c r="F61" s="62" t="s">
        <v>751</v>
      </c>
    </row>
    <row r="62" spans="2:6">
      <c r="B62" s="20">
        <v>59</v>
      </c>
      <c r="D62" s="14">
        <v>5550002996</v>
      </c>
      <c r="E62" s="62" t="s">
        <v>752</v>
      </c>
      <c r="F62" s="62" t="s">
        <v>753</v>
      </c>
    </row>
    <row r="63" spans="2:6">
      <c r="B63" s="20">
        <v>60</v>
      </c>
      <c r="D63" s="14">
        <v>5550003025</v>
      </c>
      <c r="E63" s="62" t="s">
        <v>754</v>
      </c>
      <c r="F63" s="62" t="s">
        <v>755</v>
      </c>
    </row>
    <row r="64" spans="2:6">
      <c r="B64" s="20">
        <v>61</v>
      </c>
      <c r="D64" s="14">
        <v>5550003146</v>
      </c>
      <c r="E64" s="62" t="s">
        <v>756</v>
      </c>
      <c r="F64" s="62" t="s">
        <v>704</v>
      </c>
    </row>
    <row r="65" spans="2:6">
      <c r="B65" s="20">
        <v>62</v>
      </c>
      <c r="D65" s="14">
        <v>5550003161</v>
      </c>
      <c r="E65" s="62" t="s">
        <v>757</v>
      </c>
      <c r="F65" s="62" t="s">
        <v>758</v>
      </c>
    </row>
    <row r="66" spans="2:6">
      <c r="B66" s="20">
        <v>63</v>
      </c>
      <c r="D66" s="14">
        <v>5550003637</v>
      </c>
      <c r="E66" s="237" t="s">
        <v>759</v>
      </c>
      <c r="F66" s="62" t="s">
        <v>760</v>
      </c>
    </row>
    <row r="67" spans="2:6">
      <c r="B67" s="20">
        <v>64</v>
      </c>
      <c r="D67" s="14" t="s">
        <v>761</v>
      </c>
      <c r="E67" s="62" t="s">
        <v>762</v>
      </c>
      <c r="F67" s="62" t="s">
        <v>682</v>
      </c>
    </row>
    <row r="68" spans="2:6">
      <c r="B68" s="20">
        <v>65</v>
      </c>
      <c r="D68" s="14" t="s">
        <v>763</v>
      </c>
      <c r="E68" s="62" t="s">
        <v>764</v>
      </c>
      <c r="F68" s="62" t="s">
        <v>765</v>
      </c>
    </row>
    <row r="69" spans="2:6">
      <c r="B69" s="20">
        <v>66</v>
      </c>
      <c r="D69" s="14" t="s">
        <v>766</v>
      </c>
      <c r="E69" s="62" t="s">
        <v>767</v>
      </c>
      <c r="F69" s="62" t="s">
        <v>765</v>
      </c>
    </row>
    <row r="70" spans="2:6">
      <c r="B70" s="20">
        <v>67</v>
      </c>
      <c r="D70" s="14" t="s">
        <v>768</v>
      </c>
      <c r="E70" s="62" t="s">
        <v>769</v>
      </c>
      <c r="F70" s="62" t="s">
        <v>770</v>
      </c>
    </row>
    <row r="71" spans="2:6">
      <c r="B71" s="20">
        <v>68</v>
      </c>
      <c r="D71" s="14" t="s">
        <v>58</v>
      </c>
      <c r="E71" s="62" t="s">
        <v>771</v>
      </c>
      <c r="F71" s="62" t="s">
        <v>765</v>
      </c>
    </row>
    <row r="72" spans="2:6">
      <c r="B72" s="20">
        <v>69</v>
      </c>
      <c r="D72" s="14" t="s">
        <v>772</v>
      </c>
      <c r="E72" s="62" t="s">
        <v>773</v>
      </c>
      <c r="F72" s="62" t="s">
        <v>765</v>
      </c>
    </row>
    <row r="73" spans="2:6">
      <c r="B73" s="20">
        <v>70</v>
      </c>
      <c r="D73" s="14" t="s">
        <v>774</v>
      </c>
      <c r="E73" s="62" t="s">
        <v>775</v>
      </c>
      <c r="F73" s="62" t="s">
        <v>776</v>
      </c>
    </row>
    <row r="74" spans="2:6">
      <c r="B74" s="20">
        <v>71</v>
      </c>
      <c r="D74" s="14" t="s">
        <v>777</v>
      </c>
      <c r="E74" s="62" t="s">
        <v>778</v>
      </c>
      <c r="F74" s="62" t="s">
        <v>779</v>
      </c>
    </row>
    <row r="75" spans="2:6">
      <c r="B75" s="20">
        <v>72</v>
      </c>
      <c r="D75" s="14" t="s">
        <v>780</v>
      </c>
      <c r="E75" s="62" t="s">
        <v>781</v>
      </c>
      <c r="F75" s="62" t="s">
        <v>782</v>
      </c>
    </row>
    <row r="76" spans="2:6">
      <c r="B76" s="20">
        <v>73</v>
      </c>
      <c r="D76" s="14" t="s">
        <v>783</v>
      </c>
      <c r="E76" s="62" t="s">
        <v>784</v>
      </c>
      <c r="F76" s="62" t="s">
        <v>765</v>
      </c>
    </row>
    <row r="77" spans="2:6">
      <c r="B77" s="20">
        <v>74</v>
      </c>
      <c r="D77" s="14" t="s">
        <v>785</v>
      </c>
      <c r="E77" s="62" t="s">
        <v>786</v>
      </c>
      <c r="F77" s="62" t="s">
        <v>787</v>
      </c>
    </row>
    <row r="78" spans="2:6">
      <c r="B78" s="20">
        <v>75</v>
      </c>
      <c r="D78" s="14" t="s">
        <v>788</v>
      </c>
      <c r="E78" s="105">
        <v>47</v>
      </c>
      <c r="F78" s="62" t="s">
        <v>789</v>
      </c>
    </row>
    <row r="79" spans="2:6">
      <c r="B79" s="20">
        <v>76</v>
      </c>
      <c r="D79" s="14">
        <v>27440</v>
      </c>
      <c r="E79" s="62" t="s">
        <v>790</v>
      </c>
      <c r="F79" s="62" t="s">
        <v>782</v>
      </c>
    </row>
    <row r="80" spans="2:6">
      <c r="B80" s="20">
        <v>77</v>
      </c>
      <c r="D80" s="14">
        <v>27438</v>
      </c>
      <c r="E80" s="62" t="s">
        <v>791</v>
      </c>
      <c r="F80" s="62" t="s">
        <v>760</v>
      </c>
    </row>
    <row r="81" spans="2:6">
      <c r="B81" s="20">
        <v>78</v>
      </c>
      <c r="D81" s="14" t="s">
        <v>792</v>
      </c>
      <c r="E81" s="62" t="s">
        <v>793</v>
      </c>
      <c r="F81" s="62" t="s">
        <v>794</v>
      </c>
    </row>
    <row r="82" spans="2:6">
      <c r="B82" s="20">
        <v>79</v>
      </c>
      <c r="D82" s="232" t="s">
        <v>795</v>
      </c>
      <c r="E82" s="233" t="s">
        <v>796</v>
      </c>
      <c r="F82" s="233" t="s">
        <v>797</v>
      </c>
    </row>
    <row r="83" spans="2:6">
      <c r="B83" s="20">
        <v>80</v>
      </c>
      <c r="D83" s="232" t="s">
        <v>798</v>
      </c>
      <c r="E83" s="233" t="s">
        <v>799</v>
      </c>
      <c r="F83" s="233" t="s">
        <v>797</v>
      </c>
    </row>
    <row r="84" spans="2:6">
      <c r="B84" s="20">
        <v>81</v>
      </c>
      <c r="D84" s="232" t="s">
        <v>800</v>
      </c>
      <c r="E84" s="233" t="s">
        <v>801</v>
      </c>
      <c r="F84" s="62" t="s">
        <v>760</v>
      </c>
    </row>
    <row r="85" spans="2:6">
      <c r="B85" s="20">
        <v>82</v>
      </c>
      <c r="D85" s="232" t="s">
        <v>802</v>
      </c>
      <c r="E85" s="233" t="s">
        <v>803</v>
      </c>
      <c r="F85" s="62" t="s">
        <v>782</v>
      </c>
    </row>
    <row r="86" spans="2:6">
      <c r="B86" s="20">
        <v>83</v>
      </c>
      <c r="D86" s="232" t="s">
        <v>233</v>
      </c>
      <c r="E86" s="233" t="s">
        <v>804</v>
      </c>
      <c r="F86" s="62" t="s">
        <v>782</v>
      </c>
    </row>
    <row r="87" spans="2:6">
      <c r="B87" s="20">
        <v>84</v>
      </c>
      <c r="D87" s="232" t="s">
        <v>805</v>
      </c>
      <c r="E87" s="233" t="s">
        <v>806</v>
      </c>
      <c r="F87" s="62" t="s">
        <v>782</v>
      </c>
    </row>
    <row r="88" spans="2:6">
      <c r="D88" s="232"/>
      <c r="E88" s="232"/>
      <c r="F88" s="233"/>
    </row>
    <row r="89" spans="2:6">
      <c r="D89" s="232"/>
      <c r="E89" s="232"/>
      <c r="F89" s="233"/>
    </row>
    <row r="90" spans="2:6">
      <c r="D90" s="232"/>
      <c r="E90" s="232"/>
      <c r="F90" s="233"/>
    </row>
    <row r="91" spans="2:6">
      <c r="D91" s="232"/>
      <c r="E91" s="232"/>
      <c r="F91" s="233"/>
    </row>
    <row r="92" spans="2:6">
      <c r="D92" s="232"/>
      <c r="E92" s="232"/>
      <c r="F92" s="233"/>
    </row>
    <row r="93" spans="2:6">
      <c r="D93" s="232"/>
      <c r="E93" s="232"/>
      <c r="F93" s="233"/>
    </row>
    <row r="94" spans="2:6">
      <c r="D94" s="232"/>
      <c r="E94" s="232"/>
      <c r="F94" s="233"/>
    </row>
    <row r="95" spans="2:6">
      <c r="D95" s="232"/>
      <c r="E95" s="232"/>
      <c r="F95" s="233"/>
    </row>
    <row r="96" spans="2:6">
      <c r="D96" s="234"/>
      <c r="E96" s="232"/>
      <c r="F96" s="235"/>
    </row>
  </sheetData>
  <phoneticPr fontId="11" type="noConversion"/>
  <pageMargins left="0.7" right="0.7" top="0.75" bottom="0.75" header="0.3" footer="0.3"/>
  <pageSetup orientation="portrait" r:id="rId1"/>
  <ignoredErrors>
    <ignoredError sqref="E4:E34 E80:E87 E36:E79" calculatedColumn="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R28"/>
  <sheetViews>
    <sheetView showGridLines="0" workbookViewId="0">
      <pane ySplit="2" topLeftCell="A8" activePane="bottomLeft" state="frozen"/>
      <selection activeCell="E74" sqref="E74"/>
      <selection pane="bottomLeft" activeCell="G14" sqref="G14"/>
    </sheetView>
  </sheetViews>
  <sheetFormatPr defaultRowHeight="14.5"/>
  <cols>
    <col min="2" max="2" width="4" customWidth="1"/>
    <col min="3" max="3" width="3.453125" customWidth="1"/>
    <col min="4" max="4" width="18.1796875" customWidth="1"/>
    <col min="5" max="5" width="48.453125" customWidth="1"/>
    <col min="6" max="6" width="17.7265625" customWidth="1"/>
    <col min="7" max="7" width="25.26953125" customWidth="1"/>
    <col min="16" max="16" width="18.7265625" customWidth="1"/>
    <col min="18" max="18" width="11.7265625" customWidth="1"/>
  </cols>
  <sheetData>
    <row r="2" spans="2:18" ht="30" customHeight="1">
      <c r="B2" s="18" t="s">
        <v>807</v>
      </c>
      <c r="D2" s="23" t="s">
        <v>660</v>
      </c>
      <c r="E2" s="23" t="s">
        <v>808</v>
      </c>
      <c r="F2" s="23" t="s">
        <v>809</v>
      </c>
      <c r="G2" s="23" t="s">
        <v>810</v>
      </c>
      <c r="P2" s="19" t="s">
        <v>811</v>
      </c>
      <c r="R2" s="19" t="s">
        <v>4</v>
      </c>
    </row>
    <row r="3" spans="2:18" ht="13.15" customHeight="1">
      <c r="B3" s="14"/>
      <c r="D3" s="16"/>
      <c r="E3" s="16"/>
      <c r="F3" s="25"/>
      <c r="G3" s="25"/>
    </row>
    <row r="4" spans="2:18" ht="13.15" customHeight="1">
      <c r="B4" s="14">
        <v>1</v>
      </c>
      <c r="D4" s="16">
        <v>6660000017</v>
      </c>
      <c r="E4" s="16" t="s">
        <v>812</v>
      </c>
      <c r="F4" s="25" t="s">
        <v>813</v>
      </c>
      <c r="G4" s="25" t="s">
        <v>515</v>
      </c>
      <c r="P4" t="s">
        <v>254</v>
      </c>
      <c r="R4" t="s">
        <v>814</v>
      </c>
    </row>
    <row r="5" spans="2:18" ht="13.15" customHeight="1">
      <c r="B5" s="14">
        <v>2</v>
      </c>
      <c r="D5" s="16">
        <v>6660000642</v>
      </c>
      <c r="E5" s="16" t="s">
        <v>815</v>
      </c>
      <c r="F5" s="25" t="s">
        <v>816</v>
      </c>
      <c r="G5" s="25" t="s">
        <v>817</v>
      </c>
      <c r="P5" t="s">
        <v>247</v>
      </c>
      <c r="R5" t="s">
        <v>818</v>
      </c>
    </row>
    <row r="6" spans="2:18" ht="13.15" customHeight="1">
      <c r="B6" s="14">
        <v>3</v>
      </c>
      <c r="D6" s="16">
        <v>6660000794</v>
      </c>
      <c r="E6" s="3" t="s">
        <v>819</v>
      </c>
      <c r="F6" s="25" t="s">
        <v>813</v>
      </c>
      <c r="G6" s="25" t="s">
        <v>524</v>
      </c>
      <c r="P6" t="s">
        <v>273</v>
      </c>
      <c r="R6" t="s">
        <v>820</v>
      </c>
    </row>
    <row r="7" spans="2:18" ht="13.15" customHeight="1">
      <c r="B7" s="14">
        <v>4</v>
      </c>
      <c r="D7" s="16">
        <v>6660000958</v>
      </c>
      <c r="E7" s="16" t="s">
        <v>821</v>
      </c>
      <c r="F7" s="25" t="s">
        <v>816</v>
      </c>
      <c r="G7" s="25" t="s">
        <v>822</v>
      </c>
      <c r="P7" t="s">
        <v>298</v>
      </c>
      <c r="R7" t="s">
        <v>823</v>
      </c>
    </row>
    <row r="8" spans="2:18" ht="13.15" customHeight="1">
      <c r="B8" s="14">
        <v>5</v>
      </c>
      <c r="D8" s="16">
        <v>6660000959</v>
      </c>
      <c r="E8" s="16" t="s">
        <v>824</v>
      </c>
      <c r="F8" s="25" t="s">
        <v>816</v>
      </c>
      <c r="G8" s="25" t="s">
        <v>822</v>
      </c>
      <c r="P8" t="s">
        <v>825</v>
      </c>
      <c r="R8" t="s">
        <v>826</v>
      </c>
    </row>
    <row r="9" spans="2:18" ht="13.15" customHeight="1">
      <c r="B9" s="14">
        <v>6</v>
      </c>
      <c r="D9" s="16">
        <v>6660001338</v>
      </c>
      <c r="E9" s="16" t="s">
        <v>827</v>
      </c>
      <c r="F9" s="25" t="s">
        <v>816</v>
      </c>
      <c r="G9" s="25" t="s">
        <v>828</v>
      </c>
      <c r="P9" t="s">
        <v>829</v>
      </c>
      <c r="R9" t="s">
        <v>830</v>
      </c>
    </row>
    <row r="10" spans="2:18" ht="13.15" customHeight="1">
      <c r="B10" s="14">
        <v>7</v>
      </c>
      <c r="D10" s="16">
        <v>6660001346</v>
      </c>
      <c r="E10" s="21" t="s">
        <v>831</v>
      </c>
      <c r="F10" s="25" t="s">
        <v>813</v>
      </c>
      <c r="G10" s="25" t="s">
        <v>832</v>
      </c>
      <c r="P10" t="s">
        <v>647</v>
      </c>
      <c r="R10" t="s">
        <v>833</v>
      </c>
    </row>
    <row r="11" spans="2:18" ht="13.15" customHeight="1">
      <c r="B11" s="14">
        <v>8</v>
      </c>
      <c r="D11" s="16">
        <v>6660000652</v>
      </c>
      <c r="E11" s="21" t="s">
        <v>834</v>
      </c>
      <c r="F11" s="25" t="s">
        <v>813</v>
      </c>
      <c r="G11" s="25" t="s">
        <v>832</v>
      </c>
      <c r="P11" t="s">
        <v>271</v>
      </c>
      <c r="R11" t="s">
        <v>835</v>
      </c>
    </row>
    <row r="12" spans="2:18" ht="13.15" customHeight="1">
      <c r="B12" s="14">
        <v>9</v>
      </c>
      <c r="D12" s="16">
        <v>6660001819</v>
      </c>
      <c r="E12" s="16" t="s">
        <v>836</v>
      </c>
      <c r="F12" s="25" t="s">
        <v>813</v>
      </c>
      <c r="G12" s="25" t="s">
        <v>837</v>
      </c>
      <c r="P12" t="s">
        <v>649</v>
      </c>
      <c r="R12" t="s">
        <v>838</v>
      </c>
    </row>
    <row r="13" spans="2:18" ht="13.15" customHeight="1">
      <c r="B13" s="14">
        <v>10</v>
      </c>
      <c r="D13" s="16">
        <v>6660002108</v>
      </c>
      <c r="E13" s="16" t="s">
        <v>839</v>
      </c>
      <c r="F13" s="25" t="s">
        <v>816</v>
      </c>
      <c r="G13" s="25" t="s">
        <v>828</v>
      </c>
      <c r="R13" t="s">
        <v>840</v>
      </c>
    </row>
    <row r="14" spans="2:18" ht="13.15" customHeight="1">
      <c r="B14" s="14">
        <v>11</v>
      </c>
      <c r="D14" s="16">
        <v>6660002135</v>
      </c>
      <c r="E14" s="2" t="s">
        <v>841</v>
      </c>
      <c r="F14" s="49" t="s">
        <v>813</v>
      </c>
      <c r="G14" s="25" t="s">
        <v>837</v>
      </c>
      <c r="R14" t="s">
        <v>842</v>
      </c>
    </row>
    <row r="15" spans="2:18" ht="13.15" customHeight="1">
      <c r="B15" s="14">
        <v>12</v>
      </c>
      <c r="D15" s="16">
        <v>6660002687</v>
      </c>
      <c r="E15" s="16" t="s">
        <v>843</v>
      </c>
      <c r="F15" s="49" t="s">
        <v>816</v>
      </c>
      <c r="G15" s="25" t="s">
        <v>817</v>
      </c>
      <c r="R15" t="s">
        <v>844</v>
      </c>
    </row>
    <row r="16" spans="2:18" ht="13.15" customHeight="1">
      <c r="B16" s="14">
        <v>13</v>
      </c>
      <c r="D16" s="16">
        <v>6660003092</v>
      </c>
      <c r="E16" s="3" t="s">
        <v>845</v>
      </c>
      <c r="F16" s="49" t="s">
        <v>813</v>
      </c>
      <c r="G16" s="25" t="s">
        <v>524</v>
      </c>
    </row>
    <row r="17" spans="2:7" ht="13.15" customHeight="1">
      <c r="B17" s="14">
        <v>14</v>
      </c>
      <c r="D17" s="16">
        <v>6660003093</v>
      </c>
      <c r="E17" s="16" t="s">
        <v>846</v>
      </c>
      <c r="F17" s="49" t="s">
        <v>551</v>
      </c>
      <c r="G17" s="25" t="s">
        <v>847</v>
      </c>
    </row>
    <row r="18" spans="2:7" ht="13.15" customHeight="1">
      <c r="B18" s="14">
        <v>15</v>
      </c>
      <c r="D18" s="16">
        <v>6660003107</v>
      </c>
      <c r="E18" s="16" t="s">
        <v>848</v>
      </c>
      <c r="F18" s="49" t="s">
        <v>849</v>
      </c>
      <c r="G18" s="25" t="s">
        <v>850</v>
      </c>
    </row>
    <row r="19" spans="2:7" ht="13.15" customHeight="1">
      <c r="B19" s="14">
        <v>16</v>
      </c>
      <c r="D19" s="16">
        <v>6660003188</v>
      </c>
      <c r="E19" s="16" t="s">
        <v>851</v>
      </c>
      <c r="F19" s="49" t="s">
        <v>813</v>
      </c>
      <c r="G19" s="25" t="s">
        <v>852</v>
      </c>
    </row>
    <row r="20" spans="2:7" ht="13.15" customHeight="1">
      <c r="B20" s="14">
        <v>17</v>
      </c>
      <c r="D20" s="16">
        <v>6660003189</v>
      </c>
      <c r="E20" s="16" t="s">
        <v>853</v>
      </c>
      <c r="F20" s="49" t="s">
        <v>813</v>
      </c>
      <c r="G20" s="25" t="s">
        <v>837</v>
      </c>
    </row>
    <row r="21" spans="2:7" ht="13.15" customHeight="1">
      <c r="B21" s="14">
        <v>18</v>
      </c>
      <c r="D21" s="26">
        <v>6660003658</v>
      </c>
      <c r="E21" s="16" t="s">
        <v>854</v>
      </c>
      <c r="F21" s="49" t="s">
        <v>551</v>
      </c>
      <c r="G21" s="25" t="s">
        <v>817</v>
      </c>
    </row>
    <row r="22" spans="2:7">
      <c r="B22" s="14">
        <v>19</v>
      </c>
      <c r="D22" s="14" t="s">
        <v>265</v>
      </c>
      <c r="E22" s="27" t="s">
        <v>855</v>
      </c>
      <c r="F22" s="49" t="s">
        <v>551</v>
      </c>
      <c r="G22" s="28" t="s">
        <v>847</v>
      </c>
    </row>
    <row r="23" spans="2:7">
      <c r="B23" s="14">
        <v>20</v>
      </c>
      <c r="D23" s="14" t="s">
        <v>266</v>
      </c>
      <c r="E23" s="27" t="s">
        <v>856</v>
      </c>
      <c r="F23" s="49" t="s">
        <v>551</v>
      </c>
      <c r="G23" s="28" t="s">
        <v>847</v>
      </c>
    </row>
    <row r="24" spans="2:7">
      <c r="B24" s="14">
        <v>21</v>
      </c>
      <c r="D24" s="14" t="s">
        <v>857</v>
      </c>
      <c r="E24" s="29" t="s">
        <v>858</v>
      </c>
      <c r="F24" s="50" t="s">
        <v>859</v>
      </c>
      <c r="G24" s="28" t="s">
        <v>847</v>
      </c>
    </row>
    <row r="25" spans="2:7">
      <c r="B25" s="14">
        <v>22</v>
      </c>
      <c r="D25" s="14" t="s">
        <v>260</v>
      </c>
      <c r="E25" s="30" t="s">
        <v>860</v>
      </c>
      <c r="F25" s="51" t="s">
        <v>551</v>
      </c>
      <c r="G25" s="31" t="s">
        <v>817</v>
      </c>
    </row>
    <row r="26" spans="2:7">
      <c r="B26" s="14">
        <v>23</v>
      </c>
      <c r="D26" s="14" t="s">
        <v>861</v>
      </c>
      <c r="E26" s="30" t="s">
        <v>862</v>
      </c>
      <c r="F26" s="51" t="s">
        <v>551</v>
      </c>
      <c r="G26" s="31" t="s">
        <v>817</v>
      </c>
    </row>
    <row r="27" spans="2:7">
      <c r="B27" s="14">
        <v>23</v>
      </c>
      <c r="D27" s="24" t="s">
        <v>863</v>
      </c>
      <c r="E27" s="48" t="s">
        <v>864</v>
      </c>
      <c r="F27" s="52" t="s">
        <v>816</v>
      </c>
      <c r="G27" s="31" t="s">
        <v>817</v>
      </c>
    </row>
    <row r="28" spans="2:7">
      <c r="B28" s="14">
        <v>24</v>
      </c>
      <c r="D28" s="14">
        <v>6660024031</v>
      </c>
      <c r="E28" s="7" t="s">
        <v>865</v>
      </c>
      <c r="F28" s="51" t="s">
        <v>813</v>
      </c>
      <c r="G28" s="25" t="s">
        <v>852</v>
      </c>
    </row>
  </sheetData>
  <phoneticPr fontId="1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E98E-3536-4D6B-892B-203215E3007D}">
  <dimension ref="A1:AH184"/>
  <sheetViews>
    <sheetView showGridLines="0" topLeftCell="A4" workbookViewId="0">
      <selection activeCell="C124" sqref="C124"/>
    </sheetView>
  </sheetViews>
  <sheetFormatPr defaultRowHeight="14.5"/>
  <cols>
    <col min="1" max="1" width="18.81640625" bestFit="1" customWidth="1"/>
    <col min="2" max="2" width="19.7265625" bestFit="1" customWidth="1"/>
    <col min="3" max="3" width="17.1796875" customWidth="1"/>
    <col min="4" max="4" width="13.1796875" bestFit="1" customWidth="1"/>
    <col min="5" max="5" width="19.7265625" bestFit="1" customWidth="1"/>
    <col min="6" max="6" width="15.54296875" bestFit="1" customWidth="1"/>
    <col min="7" max="8" width="19.7265625" bestFit="1" customWidth="1"/>
    <col min="9" max="9" width="4.7265625" customWidth="1"/>
    <col min="10" max="10" width="44.81640625" bestFit="1" customWidth="1"/>
    <col min="11" max="11" width="19.7265625" bestFit="1" customWidth="1"/>
    <col min="14" max="14" width="17.7265625" bestFit="1" customWidth="1"/>
    <col min="15" max="15" width="14.26953125" bestFit="1" customWidth="1"/>
    <col min="16" max="16" width="21.1796875" customWidth="1"/>
    <col min="20" max="20" width="16.81640625" customWidth="1"/>
    <col min="21" max="21" width="13.26953125" bestFit="1" customWidth="1"/>
    <col min="23" max="23" width="3.26953125" customWidth="1"/>
    <col min="24" max="24" width="29.453125" bestFit="1" customWidth="1"/>
    <col min="25" max="25" width="19.7265625" bestFit="1" customWidth="1"/>
    <col min="28" max="28" width="23" customWidth="1"/>
    <col min="29" max="30" width="14.26953125" bestFit="1" customWidth="1"/>
  </cols>
  <sheetData>
    <row r="1" spans="1:34" ht="42.75" customHeight="1">
      <c r="A1" s="77"/>
      <c r="B1" s="77"/>
      <c r="C1" s="309" t="s">
        <v>866</v>
      </c>
      <c r="D1" s="309"/>
      <c r="E1" s="309"/>
      <c r="F1" s="307">
        <f>$B$7+$K$26+$Y$7</f>
        <v>1686262.9</v>
      </c>
      <c r="G1" s="308"/>
      <c r="H1" s="76"/>
      <c r="I1" s="76"/>
      <c r="J1" s="76"/>
      <c r="K1" s="76"/>
      <c r="L1" s="76"/>
      <c r="M1" s="76"/>
      <c r="N1" s="76"/>
      <c r="O1" s="76"/>
      <c r="P1" s="76"/>
      <c r="Q1" s="76"/>
      <c r="R1" s="76"/>
      <c r="S1" s="76"/>
      <c r="T1" s="76"/>
      <c r="U1" s="76"/>
      <c r="V1" s="76"/>
      <c r="W1" s="76"/>
      <c r="X1" s="76"/>
      <c r="Y1" s="76"/>
      <c r="Z1" s="76"/>
      <c r="AA1" s="76"/>
      <c r="AB1" s="76"/>
      <c r="AC1" s="76"/>
      <c r="AD1" s="76"/>
      <c r="AE1" s="76"/>
      <c r="AF1" s="76"/>
      <c r="AG1" s="76"/>
      <c r="AH1" s="76"/>
    </row>
    <row r="2" spans="1:34" ht="18.5">
      <c r="A2" s="61"/>
      <c r="B2" s="77"/>
      <c r="C2" s="61"/>
      <c r="D2" s="61"/>
      <c r="E2" s="61"/>
      <c r="F2" s="61"/>
      <c r="G2" s="61"/>
      <c r="H2" s="61"/>
      <c r="I2" s="76"/>
      <c r="J2" s="60"/>
      <c r="K2" s="76"/>
      <c r="L2" s="60"/>
      <c r="M2" s="60"/>
      <c r="N2" s="60"/>
      <c r="O2" s="60"/>
      <c r="P2" s="60"/>
      <c r="Q2" s="60"/>
      <c r="R2" s="60"/>
      <c r="S2" s="60"/>
      <c r="T2" s="60"/>
      <c r="U2" s="60"/>
      <c r="V2" s="60"/>
      <c r="W2" s="76"/>
      <c r="X2" s="64"/>
      <c r="Y2" s="76"/>
      <c r="Z2" s="64"/>
      <c r="AA2" s="64"/>
      <c r="AB2" s="64"/>
      <c r="AC2" s="64"/>
      <c r="AD2" s="64"/>
      <c r="AE2" s="64"/>
      <c r="AF2" s="64"/>
      <c r="AG2" s="64"/>
      <c r="AH2" s="64"/>
    </row>
    <row r="3" spans="1:34" ht="15.5">
      <c r="A3" s="61"/>
      <c r="B3" s="91" t="s">
        <v>867</v>
      </c>
      <c r="C3" s="61"/>
      <c r="D3" s="61"/>
      <c r="E3" s="61"/>
      <c r="F3" s="61"/>
      <c r="G3" s="61"/>
      <c r="H3" s="61"/>
      <c r="I3" s="76"/>
      <c r="J3" s="60"/>
      <c r="K3" s="91" t="s">
        <v>868</v>
      </c>
      <c r="L3" s="60"/>
      <c r="M3" s="60"/>
      <c r="N3" s="60"/>
      <c r="O3" s="60"/>
      <c r="P3" s="60"/>
      <c r="Q3" s="60"/>
      <c r="R3" s="60"/>
      <c r="S3" s="60"/>
      <c r="T3" s="60"/>
      <c r="U3" s="60"/>
      <c r="V3" s="60"/>
      <c r="W3" s="76"/>
      <c r="X3" s="64"/>
      <c r="Y3" s="91" t="s">
        <v>869</v>
      </c>
      <c r="Z3" s="64"/>
      <c r="AA3" s="64"/>
      <c r="AB3" s="64"/>
      <c r="AC3" s="64"/>
      <c r="AD3" s="64"/>
      <c r="AE3" s="64"/>
      <c r="AF3" s="64"/>
      <c r="AG3" s="64"/>
      <c r="AH3" s="64"/>
    </row>
    <row r="4" spans="1:34" ht="18.5">
      <c r="A4" s="61"/>
      <c r="B4" s="77"/>
      <c r="C4" s="61"/>
      <c r="D4" s="61"/>
      <c r="E4" s="61"/>
      <c r="F4" s="61"/>
      <c r="G4" s="61"/>
      <c r="H4" s="61"/>
      <c r="I4" s="76"/>
      <c r="J4" s="60"/>
      <c r="K4" s="76"/>
      <c r="L4" s="60"/>
      <c r="M4" s="60"/>
      <c r="N4" s="60"/>
      <c r="O4" s="60"/>
      <c r="P4" s="60"/>
      <c r="Q4" s="60"/>
      <c r="R4" s="60"/>
      <c r="S4" s="60"/>
      <c r="T4" s="60"/>
      <c r="U4" s="60"/>
      <c r="V4" s="60"/>
      <c r="W4" s="76"/>
      <c r="X4" s="64"/>
      <c r="Y4" s="76"/>
      <c r="Z4" s="64"/>
      <c r="AA4" s="64"/>
      <c r="AB4" s="64"/>
      <c r="AC4" s="64"/>
      <c r="AD4" s="64"/>
      <c r="AE4" s="64"/>
      <c r="AF4" s="64"/>
      <c r="AG4" s="64"/>
      <c r="AH4" s="64"/>
    </row>
    <row r="5" spans="1:34">
      <c r="A5" s="61"/>
      <c r="B5" s="61"/>
      <c r="C5" s="61"/>
      <c r="D5" s="61"/>
      <c r="E5" s="61"/>
      <c r="F5" s="61"/>
      <c r="G5" s="61"/>
      <c r="H5" s="61"/>
      <c r="I5" s="76"/>
      <c r="J5" s="60"/>
      <c r="K5" s="60"/>
      <c r="L5" s="60"/>
      <c r="M5" s="60"/>
      <c r="N5" s="60"/>
      <c r="O5" s="60"/>
      <c r="P5" s="60"/>
      <c r="Q5" s="60"/>
      <c r="R5" s="60"/>
      <c r="S5" s="60"/>
      <c r="T5" s="60"/>
      <c r="U5" s="60"/>
      <c r="V5" s="60"/>
      <c r="W5" s="76"/>
      <c r="X5" s="64"/>
      <c r="Y5" s="64"/>
      <c r="Z5" s="64"/>
      <c r="AA5" s="64"/>
      <c r="AB5" s="64"/>
      <c r="AC5" s="64"/>
      <c r="AD5" s="64"/>
      <c r="AE5" s="64"/>
      <c r="AF5" s="64"/>
      <c r="AG5" s="64"/>
      <c r="AH5" s="64"/>
    </row>
    <row r="6" spans="1:34">
      <c r="A6" s="61"/>
      <c r="B6" s="61"/>
      <c r="C6" s="61"/>
      <c r="D6" s="61"/>
      <c r="E6" s="61"/>
      <c r="F6" s="61"/>
      <c r="G6" s="61"/>
      <c r="H6" s="61"/>
      <c r="I6" s="76"/>
      <c r="J6" s="60"/>
      <c r="K6" s="60"/>
      <c r="L6" s="60"/>
      <c r="M6" s="60"/>
      <c r="N6" s="60"/>
      <c r="O6" s="60"/>
      <c r="P6" s="60"/>
      <c r="Q6" s="60"/>
      <c r="R6" s="60"/>
      <c r="S6" s="60"/>
      <c r="T6" s="60"/>
      <c r="U6" s="60"/>
      <c r="V6" s="60"/>
      <c r="W6" s="76"/>
      <c r="X6" s="64"/>
      <c r="Y6" s="64"/>
      <c r="Z6" s="64"/>
      <c r="AA6" s="64"/>
      <c r="AB6" s="64"/>
      <c r="AC6" s="64"/>
      <c r="AD6" s="64"/>
      <c r="AE6" s="64"/>
      <c r="AF6" s="64"/>
      <c r="AG6" s="64"/>
      <c r="AH6" s="64"/>
    </row>
    <row r="7" spans="1:34" ht="26.25" customHeight="1">
      <c r="A7" s="62" t="s">
        <v>870</v>
      </c>
      <c r="B7" s="101">
        <f>GETPIVOTDATA("SPARES COST",$A$8)</f>
        <v>1686262.9</v>
      </c>
      <c r="C7" s="61"/>
      <c r="D7" s="61"/>
      <c r="E7" s="61"/>
      <c r="F7" s="61"/>
      <c r="G7" s="61"/>
      <c r="H7" s="61"/>
      <c r="I7" s="76"/>
      <c r="J7" s="62" t="s">
        <v>870</v>
      </c>
      <c r="K7" s="63">
        <f>GETPIVOTDATA("SPARES COST (NGN)",$J$8)</f>
        <v>0</v>
      </c>
      <c r="L7" s="60"/>
      <c r="M7" s="60"/>
      <c r="N7" s="60"/>
      <c r="O7" s="60"/>
      <c r="P7" s="60"/>
      <c r="Q7" s="60"/>
      <c r="R7" s="60"/>
      <c r="S7" s="60"/>
      <c r="T7" s="60"/>
      <c r="U7" s="60"/>
      <c r="V7" s="60"/>
      <c r="W7" s="76"/>
      <c r="X7" s="71" t="s">
        <v>870</v>
      </c>
      <c r="Y7" s="72">
        <f>GETPIVOTDATA("SPARES COST (NGN)",$X$8)</f>
        <v>0</v>
      </c>
      <c r="Z7" s="64"/>
      <c r="AA7" s="64"/>
      <c r="AB7" s="64"/>
      <c r="AC7" s="64"/>
      <c r="AD7" s="64"/>
      <c r="AE7" s="64"/>
      <c r="AF7" s="64"/>
      <c r="AG7" s="64"/>
      <c r="AH7" s="64"/>
    </row>
    <row r="8" spans="1:34">
      <c r="A8" s="291" t="s">
        <v>238</v>
      </c>
      <c r="B8" s="291" t="s">
        <v>871</v>
      </c>
      <c r="C8" s="61"/>
      <c r="D8" s="61"/>
      <c r="E8" s="61"/>
      <c r="F8" s="61"/>
      <c r="G8" s="61"/>
      <c r="H8" s="61"/>
      <c r="I8" s="76"/>
      <c r="J8" t="s">
        <v>239</v>
      </c>
      <c r="K8" t="s">
        <v>871</v>
      </c>
      <c r="L8" s="60"/>
      <c r="M8" s="60"/>
      <c r="N8" s="60"/>
      <c r="O8" s="60"/>
      <c r="P8" s="60"/>
      <c r="Q8" s="60"/>
      <c r="R8" s="60"/>
      <c r="S8" s="60"/>
      <c r="T8" s="60"/>
      <c r="U8" s="60"/>
      <c r="V8" s="60"/>
      <c r="W8" s="76"/>
      <c r="X8" t="s">
        <v>238</v>
      </c>
      <c r="Y8" s="100" t="s">
        <v>871</v>
      </c>
      <c r="Z8" s="64"/>
      <c r="AA8" s="64"/>
      <c r="AB8" s="64"/>
      <c r="AC8" s="64"/>
      <c r="AD8" s="64"/>
      <c r="AE8" s="64"/>
      <c r="AF8" s="64"/>
      <c r="AG8" s="64"/>
      <c r="AH8" s="64"/>
    </row>
    <row r="9" spans="1:34">
      <c r="A9" s="292" t="s">
        <v>247</v>
      </c>
      <c r="B9" s="293">
        <v>134577</v>
      </c>
      <c r="C9" s="61"/>
      <c r="D9" s="61"/>
      <c r="E9" s="62" t="s">
        <v>247</v>
      </c>
      <c r="F9" s="63">
        <f>GETPIVOTDATA("SPARES COST",$A$8,"LOCATION","DR")</f>
        <v>134577</v>
      </c>
      <c r="G9" s="109">
        <f>F9/($F$9+$F$10)</f>
        <v>7.9807840165373983E-2</v>
      </c>
      <c r="H9" s="61"/>
      <c r="I9" s="76"/>
      <c r="J9" s="93" t="s">
        <v>872</v>
      </c>
      <c r="K9" s="94"/>
      <c r="L9" s="60"/>
      <c r="M9" s="60"/>
      <c r="N9" s="62" t="s">
        <v>813</v>
      </c>
      <c r="O9" s="63" t="e">
        <f>GETPIVOTDATA("SPARES COST (NGN)",$J$8,"REPAIR / MAINTENANCE LOCATION","Port Harcourt")</f>
        <v>#REF!</v>
      </c>
      <c r="P9" s="109" t="e">
        <f>O9/($O$9+$O$10)</f>
        <v>#REF!</v>
      </c>
      <c r="Q9" s="60"/>
      <c r="R9" s="60"/>
      <c r="S9" s="60"/>
      <c r="T9" s="60"/>
      <c r="U9" s="60"/>
      <c r="V9" s="60"/>
      <c r="W9" s="76"/>
      <c r="X9" s="93" t="s">
        <v>873</v>
      </c>
      <c r="Y9" s="94"/>
      <c r="Z9" s="64"/>
      <c r="AA9" s="64"/>
      <c r="AB9" s="62" t="s">
        <v>247</v>
      </c>
      <c r="AC9" s="63" t="e">
        <f>GETPIVOTDATA("SPARES COST (NGN)",$X$8,"LOCATION","DR")</f>
        <v>#REF!</v>
      </c>
      <c r="AD9" s="109" t="e">
        <f>AC9/($AC$9+$AC$10)</f>
        <v>#REF!</v>
      </c>
      <c r="AE9" s="64"/>
      <c r="AF9" s="64"/>
      <c r="AG9" s="64"/>
      <c r="AH9" s="64"/>
    </row>
    <row r="10" spans="1:34">
      <c r="A10" s="292" t="s">
        <v>271</v>
      </c>
      <c r="B10" s="293"/>
      <c r="C10" s="61"/>
      <c r="D10" s="61"/>
      <c r="E10" s="62" t="s">
        <v>874</v>
      </c>
      <c r="F10" s="63">
        <f>$B$7-F9</f>
        <v>1551685.9</v>
      </c>
      <c r="G10" s="109">
        <f>F10/($F$9+$F$10)</f>
        <v>0.92019215983462599</v>
      </c>
      <c r="H10" s="61"/>
      <c r="I10" s="76"/>
      <c r="L10" s="60"/>
      <c r="M10" s="60"/>
      <c r="N10" s="62" t="s">
        <v>874</v>
      </c>
      <c r="O10" s="63" t="e">
        <f>$K$7-O9</f>
        <v>#REF!</v>
      </c>
      <c r="P10" s="109" t="e">
        <f>O10/($O$9+$O$10)</f>
        <v>#REF!</v>
      </c>
      <c r="Q10" s="60"/>
      <c r="R10" s="60"/>
      <c r="S10" s="60"/>
      <c r="T10" s="60"/>
      <c r="U10" s="60"/>
      <c r="V10" s="60"/>
      <c r="W10" s="76"/>
      <c r="X10" s="93" t="s">
        <v>872</v>
      </c>
      <c r="Y10" s="94"/>
      <c r="Z10" s="64"/>
      <c r="AA10" s="64"/>
      <c r="AB10" s="62" t="s">
        <v>875</v>
      </c>
      <c r="AC10" s="63" t="e">
        <f>$Y$7-AC9</f>
        <v>#REF!</v>
      </c>
      <c r="AD10" s="109" t="e">
        <f>AC10/($AC$9+$AC$10)</f>
        <v>#REF!</v>
      </c>
      <c r="AE10" s="64"/>
      <c r="AF10" s="64"/>
      <c r="AG10" s="64"/>
      <c r="AH10" s="64"/>
    </row>
    <row r="11" spans="1:34">
      <c r="A11" s="292" t="s">
        <v>254</v>
      </c>
      <c r="B11" s="293">
        <v>782520</v>
      </c>
      <c r="C11" s="61"/>
      <c r="D11" s="61"/>
      <c r="E11" s="61"/>
      <c r="F11" s="61"/>
      <c r="G11" s="112"/>
      <c r="H11" s="61"/>
      <c r="I11" s="76"/>
      <c r="L11" s="60"/>
      <c r="M11" s="60"/>
      <c r="N11" s="60"/>
      <c r="O11" s="60"/>
      <c r="P11" s="111"/>
      <c r="Q11" s="60"/>
      <c r="R11" s="60"/>
      <c r="S11" s="60"/>
      <c r="T11" s="60"/>
      <c r="U11" s="60"/>
      <c r="V11" s="60"/>
      <c r="W11" s="76"/>
      <c r="Z11" s="64"/>
      <c r="AA11" s="64"/>
      <c r="AB11" s="64"/>
      <c r="AC11" s="64"/>
      <c r="AD11" s="110"/>
      <c r="AE11" s="64"/>
      <c r="AF11" s="64"/>
      <c r="AG11" s="64"/>
      <c r="AH11" s="64"/>
    </row>
    <row r="12" spans="1:34">
      <c r="A12" s="292" t="s">
        <v>273</v>
      </c>
      <c r="B12" s="293">
        <v>140195.9</v>
      </c>
      <c r="C12" s="61"/>
      <c r="D12" s="61"/>
      <c r="E12" s="62" t="s">
        <v>271</v>
      </c>
      <c r="F12" s="63">
        <f>GETPIVOTDATA("SPARES COST",$A$8,"LOCATION","Woji")</f>
        <v>0</v>
      </c>
      <c r="G12" s="109">
        <f>F12/($F$12+$F$13)</f>
        <v>0</v>
      </c>
      <c r="H12" s="61"/>
      <c r="I12" s="76"/>
      <c r="L12" s="60"/>
      <c r="M12" s="60"/>
      <c r="N12" s="62" t="s">
        <v>816</v>
      </c>
      <c r="O12" s="63" t="e">
        <f>GETPIVOTDATA("SPARES COST (NGN)",$J$8,"REPAIR / MAINTENANCE LOCATION","Lagos")</f>
        <v>#REF!</v>
      </c>
      <c r="P12" s="109" t="e">
        <f>O12/($O$12+$O$13)</f>
        <v>#REF!</v>
      </c>
      <c r="Q12" s="60"/>
      <c r="R12" s="60"/>
      <c r="S12" s="60"/>
      <c r="T12" s="60"/>
      <c r="U12" s="60"/>
      <c r="V12" s="60"/>
      <c r="W12" s="76"/>
      <c r="Z12" s="64"/>
      <c r="AA12" s="64"/>
      <c r="AB12" s="62" t="s">
        <v>298</v>
      </c>
      <c r="AC12" s="63" t="e">
        <f>GETPIVOTDATA("SPARES COST (NGN)",$X$8,"LOCATION","GML")</f>
        <v>#REF!</v>
      </c>
      <c r="AD12" s="109" t="e">
        <f>AC12/($AC$12+$AC$13)</f>
        <v>#REF!</v>
      </c>
      <c r="AE12" s="64"/>
      <c r="AF12" s="64"/>
      <c r="AG12" s="64"/>
      <c r="AH12" s="64"/>
    </row>
    <row r="13" spans="1:34">
      <c r="A13" s="292" t="s">
        <v>873</v>
      </c>
      <c r="B13" s="293">
        <v>628970</v>
      </c>
      <c r="C13" s="61"/>
      <c r="D13" s="61"/>
      <c r="E13" s="62" t="s">
        <v>874</v>
      </c>
      <c r="F13" s="63">
        <f>$B$7-F12</f>
        <v>1686262.9</v>
      </c>
      <c r="G13" s="109">
        <f>F13/($F$12+$F$13)</f>
        <v>1</v>
      </c>
      <c r="H13" s="61"/>
      <c r="I13" s="76"/>
      <c r="L13" s="60"/>
      <c r="M13" s="60"/>
      <c r="N13" s="62" t="s">
        <v>874</v>
      </c>
      <c r="O13" s="63" t="e">
        <f>$K$7-O12</f>
        <v>#REF!</v>
      </c>
      <c r="P13" s="109" t="e">
        <f>O13/($O$12+$O$13)</f>
        <v>#REF!</v>
      </c>
      <c r="Q13" s="60"/>
      <c r="R13" s="60"/>
      <c r="S13" s="60"/>
      <c r="T13" s="60"/>
      <c r="U13" s="60"/>
      <c r="V13" s="60"/>
      <c r="W13" s="76"/>
      <c r="Z13" s="64"/>
      <c r="AA13" s="64"/>
      <c r="AB13" s="62" t="s">
        <v>875</v>
      </c>
      <c r="AC13" s="63" t="e">
        <f>$Y$7-AC12</f>
        <v>#REF!</v>
      </c>
      <c r="AD13" s="109" t="e">
        <f>AC13/($AC$12+$AC$13)</f>
        <v>#REF!</v>
      </c>
      <c r="AE13" s="64"/>
      <c r="AF13" s="64"/>
      <c r="AG13" s="64"/>
      <c r="AH13" s="64"/>
    </row>
    <row r="14" spans="1:34">
      <c r="A14" s="292" t="s">
        <v>298</v>
      </c>
      <c r="B14" s="293"/>
      <c r="C14" s="61"/>
      <c r="D14" s="61"/>
      <c r="E14" s="61"/>
      <c r="F14" s="61"/>
      <c r="G14" s="112"/>
      <c r="H14" s="61"/>
      <c r="I14" s="76"/>
      <c r="L14" s="60"/>
      <c r="M14" s="60"/>
      <c r="N14" s="60"/>
      <c r="O14" s="60"/>
      <c r="P14" s="111"/>
      <c r="Q14" s="60"/>
      <c r="R14" s="60"/>
      <c r="S14" s="60"/>
      <c r="T14" s="60"/>
      <c r="U14" s="60"/>
      <c r="V14" s="60"/>
      <c r="W14" s="76"/>
      <c r="Z14" s="64"/>
      <c r="AA14" s="64"/>
      <c r="AB14" s="64"/>
      <c r="AC14" s="64"/>
      <c r="AD14" s="110"/>
      <c r="AE14" s="64"/>
      <c r="AF14" s="64"/>
      <c r="AG14" s="64"/>
      <c r="AH14" s="64"/>
    </row>
    <row r="15" spans="1:34">
      <c r="A15" s="292" t="s">
        <v>872</v>
      </c>
      <c r="B15" s="293">
        <v>1686262.9</v>
      </c>
      <c r="C15" s="61"/>
      <c r="D15" s="61"/>
      <c r="E15" s="62" t="s">
        <v>647</v>
      </c>
      <c r="F15" s="63" t="e">
        <f>GETPIVOTDATA("SPARES COST",$A$8,"LOCATION","LAGOS OFFICE")</f>
        <v>#REF!</v>
      </c>
      <c r="G15" s="109" t="e">
        <f>F15/($F$15+$F$16)</f>
        <v>#REF!</v>
      </c>
      <c r="H15" s="61"/>
      <c r="I15" s="76"/>
      <c r="J15" s="60"/>
      <c r="K15" s="60"/>
      <c r="L15" s="60"/>
      <c r="M15" s="60"/>
      <c r="N15" s="62" t="s">
        <v>876</v>
      </c>
      <c r="O15" s="63" t="e">
        <f>GETPIVOTDATA("SPARES COST (NGN)",$J$8,"REPAIR / MAINTENANCE LOCATION","Abuja")</f>
        <v>#REF!</v>
      </c>
      <c r="P15" s="109" t="e">
        <f>O15/($O$15+$O$16)</f>
        <v>#REF!</v>
      </c>
      <c r="Q15" s="60"/>
      <c r="R15" s="60"/>
      <c r="S15" s="60"/>
      <c r="T15" s="60"/>
      <c r="U15" s="60"/>
      <c r="V15" s="60"/>
      <c r="W15" s="76"/>
      <c r="Z15" s="64"/>
      <c r="AA15" s="64"/>
      <c r="AB15" s="62" t="s">
        <v>254</v>
      </c>
      <c r="AC15" s="63" t="e">
        <f>GETPIVOTDATA("SPARES COST (NGN)",$X$8,"LOCATION","PHC OFFICE")</f>
        <v>#REF!</v>
      </c>
      <c r="AD15" s="109" t="e">
        <f>AC15/($AC$15+$AC$16)</f>
        <v>#REF!</v>
      </c>
      <c r="AE15" s="64"/>
      <c r="AF15" s="64"/>
      <c r="AG15" s="64"/>
      <c r="AH15" s="64"/>
    </row>
    <row r="16" spans="1:34">
      <c r="C16" s="61"/>
      <c r="D16" s="61"/>
      <c r="E16" s="62" t="s">
        <v>874</v>
      </c>
      <c r="F16" s="63" t="e">
        <f>$B$7-F15</f>
        <v>#REF!</v>
      </c>
      <c r="G16" s="109" t="e">
        <f>F16/($F$15+$F$16)</f>
        <v>#REF!</v>
      </c>
      <c r="H16" s="61"/>
      <c r="I16" s="76"/>
      <c r="J16" s="60"/>
      <c r="K16" s="60"/>
      <c r="L16" s="60"/>
      <c r="M16" s="60"/>
      <c r="N16" s="62" t="s">
        <v>874</v>
      </c>
      <c r="O16" s="63" t="e">
        <f>$K$7-O15</f>
        <v>#REF!</v>
      </c>
      <c r="P16" s="109" t="e">
        <f>O16/($O$15+$O$16)</f>
        <v>#REF!</v>
      </c>
      <c r="Q16" s="60"/>
      <c r="R16" s="60"/>
      <c r="S16" s="60"/>
      <c r="T16" s="60"/>
      <c r="U16" s="60"/>
      <c r="V16" s="60"/>
      <c r="W16" s="76"/>
      <c r="Z16" s="64"/>
      <c r="AA16" s="64"/>
      <c r="AB16" s="62" t="s">
        <v>875</v>
      </c>
      <c r="AC16" s="63" t="e">
        <f>$Y$7-AC15</f>
        <v>#REF!</v>
      </c>
      <c r="AD16" s="109" t="e">
        <f>AC16/($AC$15+$AC$16)</f>
        <v>#REF!</v>
      </c>
      <c r="AE16" s="64"/>
      <c r="AF16" s="64"/>
      <c r="AG16" s="64"/>
      <c r="AH16" s="64"/>
    </row>
    <row r="17" spans="1:34">
      <c r="C17" s="61"/>
      <c r="D17" s="61"/>
      <c r="E17" s="61"/>
      <c r="F17" s="61"/>
      <c r="G17" s="112"/>
      <c r="H17" s="61"/>
      <c r="I17" s="76"/>
      <c r="J17" s="60"/>
      <c r="K17" s="60"/>
      <c r="L17" s="60"/>
      <c r="M17" s="60"/>
      <c r="N17" s="60"/>
      <c r="O17" s="60"/>
      <c r="P17" s="111"/>
      <c r="Q17" s="60"/>
      <c r="R17" s="60"/>
      <c r="S17" s="60"/>
      <c r="T17" s="60"/>
      <c r="U17" s="60"/>
      <c r="V17" s="60"/>
      <c r="W17" s="76"/>
      <c r="Z17" s="64"/>
      <c r="AA17" s="64"/>
      <c r="AB17" s="64"/>
      <c r="AC17" s="64"/>
      <c r="AD17" s="110"/>
      <c r="AE17" s="64"/>
      <c r="AF17" s="64"/>
      <c r="AG17" s="64"/>
      <c r="AH17" s="64"/>
    </row>
    <row r="18" spans="1:34">
      <c r="C18" s="61"/>
      <c r="D18" s="61"/>
      <c r="E18" s="62" t="s">
        <v>651</v>
      </c>
      <c r="F18" s="63" t="e">
        <f>GETPIVOTDATA("SPARES COST",$A$8,"LOCATION","TOMY")</f>
        <v>#REF!</v>
      </c>
      <c r="G18" s="109" t="e">
        <f>F18/($F$18+$F$19)</f>
        <v>#REF!</v>
      </c>
      <c r="H18" s="61"/>
      <c r="I18" s="76"/>
      <c r="J18" s="60"/>
      <c r="K18" s="60"/>
      <c r="L18" s="60"/>
      <c r="M18" s="60"/>
      <c r="N18" s="62" t="s">
        <v>551</v>
      </c>
      <c r="O18" s="63" t="e">
        <f>GETPIVOTDATA("SPARES COST (NGN)",$J$8,"REPAIR / MAINTENANCE LOCATION","Uyo")</f>
        <v>#REF!</v>
      </c>
      <c r="P18" s="109" t="e">
        <f>O18/($O$15+$O$16)</f>
        <v>#REF!</v>
      </c>
      <c r="Q18" s="60"/>
      <c r="R18" s="60"/>
      <c r="S18" s="60"/>
      <c r="T18" s="60"/>
      <c r="U18" s="60"/>
      <c r="V18" s="60"/>
      <c r="W18" s="76"/>
      <c r="Z18" s="64"/>
      <c r="AA18" s="64"/>
      <c r="AB18" s="62" t="s">
        <v>647</v>
      </c>
      <c r="AC18" s="63" t="e">
        <f>GETPIVOTDATA("SPARES COST (NGN)",$X$8,"LOCATION","LAGOS OFFICE")</f>
        <v>#REF!</v>
      </c>
      <c r="AD18" s="109" t="e">
        <f>AC18/($AC$18+$AC$19)</f>
        <v>#REF!</v>
      </c>
      <c r="AE18" s="64"/>
      <c r="AF18" s="64"/>
      <c r="AG18" s="64"/>
      <c r="AH18" s="64"/>
    </row>
    <row r="19" spans="1:34">
      <c r="A19" s="61"/>
      <c r="B19" s="61"/>
      <c r="C19" s="61"/>
      <c r="D19" s="61"/>
      <c r="E19" s="62" t="s">
        <v>874</v>
      </c>
      <c r="F19" s="63" t="e">
        <f>$B$7-F18</f>
        <v>#REF!</v>
      </c>
      <c r="G19" s="109" t="e">
        <f>F19/($F$18+$F$19)</f>
        <v>#REF!</v>
      </c>
      <c r="H19" s="61"/>
      <c r="I19" s="76"/>
      <c r="J19" s="60"/>
      <c r="K19" s="60"/>
      <c r="L19" s="60"/>
      <c r="M19" s="60"/>
      <c r="N19" s="62" t="s">
        <v>874</v>
      </c>
      <c r="O19" s="63" t="e">
        <f>$K$7-O18</f>
        <v>#REF!</v>
      </c>
      <c r="P19" s="109" t="e">
        <f>O19/($O$15+$O$16)</f>
        <v>#REF!</v>
      </c>
      <c r="Q19" s="60"/>
      <c r="R19" s="60"/>
      <c r="S19" s="60"/>
      <c r="T19" s="60"/>
      <c r="U19" s="60"/>
      <c r="V19" s="60"/>
      <c r="W19" s="76"/>
      <c r="Z19" s="64"/>
      <c r="AA19" s="64"/>
      <c r="AB19" s="62" t="s">
        <v>875</v>
      </c>
      <c r="AC19" s="63" t="e">
        <f>$Y$7-AC18</f>
        <v>#REF!</v>
      </c>
      <c r="AD19" s="109" t="e">
        <f>AC19/($AC$18+$AC$19)</f>
        <v>#REF!</v>
      </c>
      <c r="AE19" s="64"/>
      <c r="AF19" s="64"/>
      <c r="AG19" s="64"/>
      <c r="AH19" s="64"/>
    </row>
    <row r="20" spans="1:34">
      <c r="A20" s="61"/>
      <c r="B20" s="61"/>
      <c r="C20" s="61"/>
      <c r="D20" s="61"/>
      <c r="E20" s="61"/>
      <c r="F20" s="61"/>
      <c r="G20" s="112"/>
      <c r="H20" s="61"/>
      <c r="I20" s="76"/>
      <c r="J20" s="60"/>
      <c r="K20" s="60"/>
      <c r="L20" s="60"/>
      <c r="M20" s="60"/>
      <c r="N20" s="60"/>
      <c r="O20" s="60"/>
      <c r="P20" s="60"/>
      <c r="Q20" s="60"/>
      <c r="R20" s="60"/>
      <c r="S20" s="60"/>
      <c r="T20" s="60"/>
      <c r="U20" s="60"/>
      <c r="V20" s="60"/>
      <c r="W20" s="76"/>
      <c r="Z20" s="64"/>
      <c r="AA20" s="64"/>
      <c r="AB20" s="64"/>
      <c r="AC20" s="64"/>
      <c r="AD20" s="110"/>
      <c r="AE20" s="64"/>
      <c r="AF20" s="64"/>
      <c r="AG20" s="64"/>
      <c r="AH20" s="64"/>
    </row>
    <row r="21" spans="1:34">
      <c r="A21" s="61"/>
      <c r="B21" s="61"/>
      <c r="C21" s="61"/>
      <c r="D21" s="61"/>
      <c r="E21" s="62" t="s">
        <v>254</v>
      </c>
      <c r="F21" s="63">
        <f>GETPIVOTDATA("SPARES COST",$A$8,"LOCATION","PHC OFFICE")</f>
        <v>782520</v>
      </c>
      <c r="G21" s="109">
        <f>F21/($F$21+$F$22)</f>
        <v>0.46405575310943509</v>
      </c>
      <c r="H21" s="61"/>
      <c r="I21" s="76"/>
      <c r="J21" s="60"/>
      <c r="K21" s="60"/>
      <c r="L21" s="60"/>
      <c r="M21" s="60"/>
      <c r="N21" s="60"/>
      <c r="O21" s="60"/>
      <c r="P21" s="60"/>
      <c r="Q21" s="60"/>
      <c r="R21" s="60"/>
      <c r="S21" s="60"/>
      <c r="T21" s="60"/>
      <c r="U21" s="60"/>
      <c r="V21" s="60"/>
      <c r="W21" s="76"/>
      <c r="Z21" s="64"/>
      <c r="AA21" s="64"/>
      <c r="AB21" s="62" t="s">
        <v>653</v>
      </c>
      <c r="AC21" s="63" t="e">
        <f>GETPIVOTDATA("SPARES COST (NGN)",$X$8,"LOCATION","TOMY RESIDENCE")</f>
        <v>#REF!</v>
      </c>
      <c r="AD21" s="109" t="e">
        <f>AC21/($AC$21+$AC$22)</f>
        <v>#REF!</v>
      </c>
      <c r="AE21" s="64"/>
      <c r="AF21" s="64"/>
      <c r="AG21" s="64"/>
      <c r="AH21" s="64"/>
    </row>
    <row r="22" spans="1:34">
      <c r="A22" s="61"/>
      <c r="B22" s="61"/>
      <c r="C22" s="61"/>
      <c r="D22" s="61"/>
      <c r="E22" s="62" t="s">
        <v>874</v>
      </c>
      <c r="F22" s="63">
        <f>$B$7-F21</f>
        <v>903742.89999999991</v>
      </c>
      <c r="G22" s="109">
        <f>F22/($F$21+$F$22)</f>
        <v>0.53594424689056486</v>
      </c>
      <c r="H22" s="61"/>
      <c r="I22" s="76"/>
      <c r="J22" s="60"/>
      <c r="K22" s="60"/>
      <c r="L22" s="60"/>
      <c r="M22" s="60"/>
      <c r="N22" s="60"/>
      <c r="O22" s="60"/>
      <c r="P22" s="60"/>
      <c r="Q22" s="60"/>
      <c r="R22" s="60"/>
      <c r="S22" s="60"/>
      <c r="T22" s="60"/>
      <c r="U22" s="60"/>
      <c r="V22" s="60"/>
      <c r="W22" s="76"/>
      <c r="X22" s="64"/>
      <c r="Y22" s="64"/>
      <c r="Z22" s="64"/>
      <c r="AA22" s="64"/>
      <c r="AB22" s="62" t="s">
        <v>875</v>
      </c>
      <c r="AC22" s="63" t="e">
        <f>$Y$7-AC21</f>
        <v>#REF!</v>
      </c>
      <c r="AD22" s="109" t="e">
        <f>AC22/($AC$21+$AC$22)</f>
        <v>#REF!</v>
      </c>
      <c r="AE22" s="64"/>
      <c r="AF22" s="64"/>
      <c r="AG22" s="64"/>
      <c r="AH22" s="64"/>
    </row>
    <row r="23" spans="1:34">
      <c r="A23" s="61"/>
      <c r="B23" s="61"/>
      <c r="C23" s="61"/>
      <c r="D23" s="61"/>
      <c r="E23" s="61"/>
      <c r="F23" s="61"/>
      <c r="G23" s="112"/>
      <c r="H23" s="61"/>
      <c r="I23" s="76"/>
      <c r="J23" s="60"/>
      <c r="K23" s="60"/>
      <c r="L23" s="60"/>
      <c r="M23" s="60"/>
      <c r="N23" s="60"/>
      <c r="O23" s="60"/>
      <c r="P23" s="60"/>
      <c r="Q23" s="60"/>
      <c r="R23" s="60"/>
      <c r="S23" s="60"/>
      <c r="T23" s="60"/>
      <c r="U23" s="60"/>
      <c r="V23" s="60"/>
      <c r="W23" s="76"/>
      <c r="X23" s="64"/>
      <c r="Y23" s="64"/>
      <c r="Z23" s="64"/>
      <c r="AA23" s="64"/>
      <c r="AB23" s="64"/>
      <c r="AC23" s="64"/>
      <c r="AD23" s="110"/>
      <c r="AE23" s="64"/>
      <c r="AF23" s="64"/>
      <c r="AG23" s="64"/>
      <c r="AH23" s="64"/>
    </row>
    <row r="24" spans="1:34">
      <c r="A24" s="61"/>
      <c r="B24" s="61"/>
      <c r="C24" s="61"/>
      <c r="D24" s="61"/>
      <c r="E24" s="62" t="s">
        <v>273</v>
      </c>
      <c r="F24" s="63">
        <f>GETPIVOTDATA("SPARES COST",$A$8,"LOCATION","DGS")</f>
        <v>140195.9</v>
      </c>
      <c r="G24" s="109">
        <f>F24/($F$24+$F$25)</f>
        <v>8.3140001479010184E-2</v>
      </c>
      <c r="H24" s="61"/>
      <c r="I24" s="76"/>
      <c r="J24" s="60"/>
      <c r="K24" s="60"/>
      <c r="L24" s="60"/>
      <c r="M24" s="60"/>
      <c r="N24" s="60"/>
      <c r="O24" s="60"/>
      <c r="P24" s="60"/>
      <c r="Q24" s="60"/>
      <c r="R24" s="60"/>
      <c r="S24" s="60"/>
      <c r="T24" s="60"/>
      <c r="U24" s="60"/>
      <c r="V24" s="60"/>
      <c r="W24" s="76"/>
      <c r="X24" s="64"/>
      <c r="Y24" s="64"/>
      <c r="Z24" s="64"/>
      <c r="AA24" s="64"/>
      <c r="AB24" s="62" t="s">
        <v>877</v>
      </c>
      <c r="AC24" s="63" t="e">
        <f>GETPIVOTDATA("SPARES COST (NGN)",$X$8,"LOCATION","AK GUEST HOUSE, LAGOS")</f>
        <v>#REF!</v>
      </c>
      <c r="AD24" s="109" t="e">
        <f>AC24/($AC$24+$AC$25)</f>
        <v>#REF!</v>
      </c>
      <c r="AE24" s="64"/>
      <c r="AF24" s="64"/>
      <c r="AG24" s="64"/>
      <c r="AH24" s="64"/>
    </row>
    <row r="25" spans="1:34">
      <c r="A25" s="61"/>
      <c r="B25" s="61"/>
      <c r="C25" s="61"/>
      <c r="D25" s="61"/>
      <c r="E25" s="62" t="s">
        <v>874</v>
      </c>
      <c r="F25" s="63">
        <f>$B$7-F24</f>
        <v>1546067</v>
      </c>
      <c r="G25" s="109">
        <f>F25/($F$24+$F$25)</f>
        <v>0.91685999852098987</v>
      </c>
      <c r="H25" s="61"/>
      <c r="I25" s="76"/>
      <c r="J25" s="89" t="s">
        <v>878</v>
      </c>
      <c r="K25" s="60"/>
      <c r="L25" s="60"/>
      <c r="M25" s="60"/>
      <c r="N25" s="89" t="s">
        <v>879</v>
      </c>
      <c r="O25" s="60"/>
      <c r="P25" s="60"/>
      <c r="Q25" s="60"/>
      <c r="R25" s="60"/>
      <c r="S25" s="60"/>
      <c r="T25" s="60"/>
      <c r="U25" s="60"/>
      <c r="V25" s="60"/>
      <c r="W25" s="76"/>
      <c r="X25" s="64"/>
      <c r="Y25" s="64"/>
      <c r="Z25" s="64"/>
      <c r="AA25" s="64"/>
      <c r="AB25" s="62" t="s">
        <v>875</v>
      </c>
      <c r="AC25" s="63" t="e">
        <f>$Y$7-AC24</f>
        <v>#REF!</v>
      </c>
      <c r="AD25" s="109" t="e">
        <f>AC25/($AC$24+$AC$25)</f>
        <v>#REF!</v>
      </c>
      <c r="AE25" s="64"/>
      <c r="AF25" s="64"/>
      <c r="AG25" s="64"/>
      <c r="AH25" s="64"/>
    </row>
    <row r="26" spans="1:34">
      <c r="A26" s="61"/>
      <c r="B26" s="61"/>
      <c r="C26" s="61"/>
      <c r="D26" s="61"/>
      <c r="E26" s="61"/>
      <c r="F26" s="61"/>
      <c r="G26" s="112"/>
      <c r="H26" s="61"/>
      <c r="I26" s="76"/>
      <c r="J26" s="60"/>
      <c r="K26" s="108">
        <f>GETPIVOTDATA("SPARES COST (NGN)",$J$27)</f>
        <v>0</v>
      </c>
      <c r="L26" s="60"/>
      <c r="M26" s="60"/>
      <c r="N26" s="60"/>
      <c r="O26" s="60"/>
      <c r="P26" s="60"/>
      <c r="Q26" s="60"/>
      <c r="R26" s="60"/>
      <c r="S26" s="60"/>
      <c r="T26" s="60"/>
      <c r="U26" s="60"/>
      <c r="V26" s="60"/>
      <c r="W26" s="76"/>
      <c r="X26" s="64"/>
      <c r="Y26" s="64"/>
      <c r="Z26" s="64"/>
      <c r="AA26" s="64"/>
      <c r="AB26" s="64"/>
      <c r="AC26" s="64"/>
      <c r="AD26" s="110"/>
      <c r="AE26" s="64"/>
      <c r="AF26" s="64"/>
      <c r="AG26" s="64"/>
      <c r="AH26" s="64"/>
    </row>
    <row r="27" spans="1:34">
      <c r="A27" s="61"/>
      <c r="B27" s="61"/>
      <c r="C27" s="61"/>
      <c r="D27" s="61"/>
      <c r="E27" s="62" t="s">
        <v>298</v>
      </c>
      <c r="F27" s="63">
        <f>GETPIVOTDATA("SPARES COST",$A$8,"LOCATION","GML")</f>
        <v>0</v>
      </c>
      <c r="G27" s="109">
        <f>F27/($F$24+$F$25)</f>
        <v>0</v>
      </c>
      <c r="H27" s="61"/>
      <c r="I27" s="76"/>
      <c r="J27" t="s">
        <v>4</v>
      </c>
      <c r="K27" t="s">
        <v>871</v>
      </c>
      <c r="L27" s="60"/>
      <c r="M27" s="60"/>
      <c r="N27" s="85" t="s">
        <v>880</v>
      </c>
      <c r="O27" s="86">
        <v>5384269</v>
      </c>
      <c r="P27" s="85" t="s">
        <v>881</v>
      </c>
      <c r="Q27" s="60"/>
      <c r="R27" s="60"/>
      <c r="S27" s="60"/>
      <c r="T27" s="60"/>
      <c r="U27" s="60"/>
      <c r="V27" s="60"/>
      <c r="W27" s="76"/>
      <c r="X27" s="64"/>
      <c r="Y27" s="64"/>
      <c r="Z27" s="64"/>
      <c r="AA27" s="64"/>
      <c r="AB27" s="62" t="s">
        <v>273</v>
      </c>
      <c r="AC27" s="63" t="e">
        <f>GETPIVOTDATA("SPARES COST (NGN)",$X$8,"LOCATION","DGS")</f>
        <v>#REF!</v>
      </c>
      <c r="AD27" s="109" t="e">
        <f>AC27/($AC$27+$AC$28)</f>
        <v>#REF!</v>
      </c>
      <c r="AE27" s="64"/>
      <c r="AF27" s="64"/>
      <c r="AG27" s="64"/>
      <c r="AH27" s="64"/>
    </row>
    <row r="28" spans="1:34">
      <c r="A28" s="61"/>
      <c r="B28" s="61"/>
      <c r="C28" s="61"/>
      <c r="D28" s="61"/>
      <c r="E28" s="62" t="s">
        <v>874</v>
      </c>
      <c r="F28" s="63">
        <f>$B$7-F27</f>
        <v>1686262.9</v>
      </c>
      <c r="G28" s="109">
        <f>F28/($F$24+$F$25)</f>
        <v>1</v>
      </c>
      <c r="H28" s="61"/>
      <c r="I28" s="76"/>
      <c r="J28" s="93" t="s">
        <v>873</v>
      </c>
      <c r="K28" s="94"/>
      <c r="L28" s="60"/>
      <c r="M28" s="60"/>
      <c r="N28" s="85" t="s">
        <v>24</v>
      </c>
      <c r="O28" s="86" t="e">
        <f>GETPIVOTDATA("SPARES COST (NGN)",$J$27,"MONTH",$N28)</f>
        <v>#REF!</v>
      </c>
      <c r="P28" s="128" t="e">
        <f t="shared" ref="P28:P38" si="0">O28/O27-1</f>
        <v>#REF!</v>
      </c>
      <c r="Q28" s="60"/>
      <c r="R28" s="60"/>
      <c r="S28" s="60"/>
      <c r="T28" s="60"/>
      <c r="U28" s="60"/>
      <c r="V28" s="60"/>
      <c r="W28" s="76"/>
      <c r="X28" s="64"/>
      <c r="Y28" s="64"/>
      <c r="Z28" s="64"/>
      <c r="AA28" s="64"/>
      <c r="AB28" s="62" t="s">
        <v>875</v>
      </c>
      <c r="AC28" s="63" t="e">
        <f>$Y$7-AC27</f>
        <v>#REF!</v>
      </c>
      <c r="AD28" s="109" t="e">
        <f>AC28/($AC$27+$AC$28)</f>
        <v>#REF!</v>
      </c>
      <c r="AE28" s="64"/>
      <c r="AF28" s="64"/>
      <c r="AG28" s="64"/>
      <c r="AH28" s="64"/>
    </row>
    <row r="29" spans="1:34">
      <c r="A29" s="61"/>
      <c r="B29" s="61"/>
      <c r="C29" s="61"/>
      <c r="D29" s="61"/>
      <c r="E29" s="61"/>
      <c r="F29" s="61"/>
      <c r="G29" s="112"/>
      <c r="H29" s="61"/>
      <c r="I29" s="76"/>
      <c r="J29" s="93" t="s">
        <v>872</v>
      </c>
      <c r="K29" s="94"/>
      <c r="L29" s="60"/>
      <c r="M29" s="60"/>
      <c r="N29" s="85" t="s">
        <v>107</v>
      </c>
      <c r="O29" s="86" t="e">
        <f t="shared" ref="O29:O38" si="1">GETPIVOTDATA("SPARES COST (NGN)",$J$27,"MONTH",$N29)</f>
        <v>#REF!</v>
      </c>
      <c r="P29" s="128" t="e">
        <f t="shared" si="0"/>
        <v>#REF!</v>
      </c>
      <c r="Q29" s="60"/>
      <c r="R29" s="60"/>
      <c r="S29" s="60"/>
      <c r="T29" s="60"/>
      <c r="U29" s="60"/>
      <c r="V29" s="60"/>
      <c r="W29" s="76"/>
      <c r="X29" s="64"/>
      <c r="Y29" s="64"/>
      <c r="Z29" s="64"/>
      <c r="AA29" s="64"/>
      <c r="AB29" s="64"/>
      <c r="AC29" s="64"/>
      <c r="AD29" s="110"/>
      <c r="AE29" s="64"/>
      <c r="AF29" s="64"/>
      <c r="AG29" s="64"/>
      <c r="AH29" s="64"/>
    </row>
    <row r="30" spans="1:34">
      <c r="A30" s="61"/>
      <c r="B30" s="61"/>
      <c r="C30" s="61"/>
      <c r="D30" s="61"/>
      <c r="E30" s="62" t="s">
        <v>652</v>
      </c>
      <c r="F30" s="63" t="e">
        <f>GETPIVOTDATA("SPARES COST",$A$8,"LOCATION","CHAIRMAN, UYO")</f>
        <v>#REF!</v>
      </c>
      <c r="G30" s="109" t="e">
        <f>F30/($F$24+$F$25)</f>
        <v>#REF!</v>
      </c>
      <c r="H30" s="61"/>
      <c r="I30" s="76"/>
      <c r="L30" s="60"/>
      <c r="M30" s="60"/>
      <c r="N30" s="85" t="s">
        <v>164</v>
      </c>
      <c r="O30" s="86" t="e">
        <f t="shared" si="1"/>
        <v>#REF!</v>
      </c>
      <c r="P30" s="128" t="e">
        <f t="shared" si="0"/>
        <v>#REF!</v>
      </c>
      <c r="Q30" s="60"/>
      <c r="R30" s="60"/>
      <c r="S30" s="60"/>
      <c r="T30" s="60"/>
      <c r="U30" s="60"/>
      <c r="V30" s="60"/>
      <c r="W30" s="76"/>
      <c r="X30" s="64"/>
      <c r="Y30" s="64"/>
      <c r="Z30" s="64"/>
      <c r="AA30" s="64"/>
      <c r="AB30" s="62" t="s">
        <v>649</v>
      </c>
      <c r="AC30" s="63" t="e">
        <f>GETPIVOTDATA("SPARES COST (NGN)",$X$8,"LOCATION","LAGOS GUEST HOUSE")</f>
        <v>#REF!</v>
      </c>
      <c r="AD30" s="109" t="e">
        <f>AC30/($AC$30+$AC$31)</f>
        <v>#REF!</v>
      </c>
      <c r="AE30" s="64"/>
      <c r="AF30" s="64"/>
      <c r="AG30" s="64"/>
      <c r="AH30" s="64"/>
    </row>
    <row r="31" spans="1:34">
      <c r="A31" s="61"/>
      <c r="B31" s="61"/>
      <c r="C31" s="61"/>
      <c r="D31" s="61"/>
      <c r="E31" s="62" t="s">
        <v>874</v>
      </c>
      <c r="F31" s="63" t="e">
        <f>$B$7-F30</f>
        <v>#REF!</v>
      </c>
      <c r="G31" s="109" t="e">
        <f>F31/($F$24+$F$25)</f>
        <v>#REF!</v>
      </c>
      <c r="H31" s="61"/>
      <c r="I31" s="76"/>
      <c r="L31" s="60"/>
      <c r="M31" s="60"/>
      <c r="N31" s="85" t="s">
        <v>182</v>
      </c>
      <c r="O31" s="86" t="e">
        <f t="shared" si="1"/>
        <v>#REF!</v>
      </c>
      <c r="P31" s="128" t="e">
        <f t="shared" si="0"/>
        <v>#REF!</v>
      </c>
      <c r="Q31" s="60"/>
      <c r="R31" s="60"/>
      <c r="S31" s="60"/>
      <c r="T31" s="60"/>
      <c r="U31" s="60"/>
      <c r="V31" s="60"/>
      <c r="W31" s="76"/>
      <c r="X31" s="64"/>
      <c r="Y31" s="64"/>
      <c r="Z31" s="64"/>
      <c r="AA31" s="64"/>
      <c r="AB31" s="62" t="s">
        <v>875</v>
      </c>
      <c r="AC31" s="63" t="e">
        <f>$Y$7-AC30</f>
        <v>#REF!</v>
      </c>
      <c r="AD31" s="109" t="e">
        <f>AC31/($AC$30+$AC$31)</f>
        <v>#REF!</v>
      </c>
      <c r="AE31" s="64"/>
      <c r="AF31" s="64"/>
      <c r="AG31" s="64"/>
      <c r="AH31" s="64"/>
    </row>
    <row r="32" spans="1:34">
      <c r="A32" s="61"/>
      <c r="B32" s="61"/>
      <c r="C32" s="61"/>
      <c r="D32" s="61"/>
      <c r="E32" s="61"/>
      <c r="F32" s="61"/>
      <c r="G32" s="112"/>
      <c r="H32" s="61"/>
      <c r="I32" s="76"/>
      <c r="L32" s="60"/>
      <c r="M32" s="60"/>
      <c r="N32" s="85" t="s">
        <v>33</v>
      </c>
      <c r="O32" s="86" t="e">
        <f t="shared" si="1"/>
        <v>#REF!</v>
      </c>
      <c r="P32" s="128" t="e">
        <f t="shared" si="0"/>
        <v>#REF!</v>
      </c>
      <c r="Q32" s="60"/>
      <c r="R32" s="60"/>
      <c r="S32" s="60"/>
      <c r="T32" s="60"/>
      <c r="U32" s="60"/>
      <c r="V32" s="60"/>
      <c r="W32" s="76"/>
      <c r="X32" s="64"/>
      <c r="Y32" s="64"/>
      <c r="Z32" s="64"/>
      <c r="AA32" s="64"/>
      <c r="AB32" s="64"/>
      <c r="AC32" s="64"/>
      <c r="AD32" s="110"/>
      <c r="AE32" s="64"/>
      <c r="AF32" s="64"/>
      <c r="AG32" s="64"/>
      <c r="AH32" s="64"/>
    </row>
    <row r="33" spans="1:34">
      <c r="A33" s="61"/>
      <c r="B33" s="61"/>
      <c r="C33" s="61"/>
      <c r="D33" s="61"/>
      <c r="E33" s="62" t="s">
        <v>556</v>
      </c>
      <c r="F33" s="63" t="e">
        <f>GETPIVOTDATA("SPARES COST",$A$8,"LOCATION","AK, UYO")</f>
        <v>#REF!</v>
      </c>
      <c r="G33" s="109" t="e">
        <f>F33/($F$24+$F$25)</f>
        <v>#REF!</v>
      </c>
      <c r="H33" s="61"/>
      <c r="I33" s="76"/>
      <c r="L33" s="60"/>
      <c r="M33" s="60"/>
      <c r="N33" s="85" t="s">
        <v>214</v>
      </c>
      <c r="O33" s="86" t="e">
        <f t="shared" si="1"/>
        <v>#REF!</v>
      </c>
      <c r="P33" s="128" t="e">
        <f t="shared" si="0"/>
        <v>#REF!</v>
      </c>
      <c r="Q33" s="60"/>
      <c r="R33" s="60"/>
      <c r="S33" s="60"/>
      <c r="T33" s="60"/>
      <c r="U33" s="60"/>
      <c r="V33" s="60"/>
      <c r="W33" s="76"/>
      <c r="X33" s="64"/>
      <c r="Y33" s="64"/>
      <c r="Z33" s="64"/>
      <c r="AA33" s="64"/>
      <c r="AB33" s="62" t="s">
        <v>271</v>
      </c>
      <c r="AC33" s="63" t="e">
        <f>GETPIVOTDATA("SPARES COST (NGN)",$X$8,"LOCATION","WOJI")</f>
        <v>#REF!</v>
      </c>
      <c r="AD33" s="109" t="e">
        <f>AC33/($AC$33+$AC$34)</f>
        <v>#REF!</v>
      </c>
      <c r="AE33" s="64"/>
      <c r="AF33" s="64"/>
      <c r="AG33" s="64"/>
      <c r="AH33" s="64"/>
    </row>
    <row r="34" spans="1:34">
      <c r="A34" s="61"/>
      <c r="B34" s="61"/>
      <c r="C34" s="61"/>
      <c r="D34" s="61"/>
      <c r="E34" s="62" t="s">
        <v>874</v>
      </c>
      <c r="F34" s="63" t="e">
        <f>$B$7-F33</f>
        <v>#REF!</v>
      </c>
      <c r="G34" s="109" t="e">
        <f>F34/($F$24+$F$25)</f>
        <v>#REF!</v>
      </c>
      <c r="H34" s="61"/>
      <c r="I34" s="76"/>
      <c r="L34" s="60"/>
      <c r="M34" s="60"/>
      <c r="N34" s="85" t="s">
        <v>231</v>
      </c>
      <c r="O34" s="86" t="e">
        <f t="shared" si="1"/>
        <v>#REF!</v>
      </c>
      <c r="P34" s="128" t="e">
        <f t="shared" si="0"/>
        <v>#REF!</v>
      </c>
      <c r="Q34" s="60"/>
      <c r="R34" s="60"/>
      <c r="S34" s="60"/>
      <c r="T34" s="60"/>
      <c r="U34" s="60"/>
      <c r="V34" s="60"/>
      <c r="W34" s="76"/>
      <c r="X34" s="64"/>
      <c r="Y34" s="64"/>
      <c r="Z34" s="64"/>
      <c r="AA34" s="64"/>
      <c r="AB34" s="62" t="s">
        <v>875</v>
      </c>
      <c r="AC34" s="63" t="e">
        <f>$Y$7-AC33</f>
        <v>#REF!</v>
      </c>
      <c r="AD34" s="109" t="e">
        <f>AC34/($AC$33+$AC$34)</f>
        <v>#REF!</v>
      </c>
      <c r="AE34" s="64"/>
      <c r="AF34" s="64"/>
      <c r="AG34" s="64"/>
      <c r="AH34" s="64"/>
    </row>
    <row r="35" spans="1:34">
      <c r="A35" s="61"/>
      <c r="B35" s="61"/>
      <c r="C35" s="61"/>
      <c r="D35" s="61"/>
      <c r="E35" s="61"/>
      <c r="F35" s="61"/>
      <c r="G35" s="61"/>
      <c r="H35" s="61"/>
      <c r="I35" s="76"/>
      <c r="L35" s="60"/>
      <c r="M35" s="60"/>
      <c r="N35" s="85" t="s">
        <v>882</v>
      </c>
      <c r="O35" s="86" t="e">
        <f t="shared" si="1"/>
        <v>#REF!</v>
      </c>
      <c r="P35" s="128" t="e">
        <f t="shared" si="0"/>
        <v>#REF!</v>
      </c>
      <c r="Q35" s="60"/>
      <c r="R35" s="60"/>
      <c r="S35" s="60"/>
      <c r="T35" s="60"/>
      <c r="U35" s="60"/>
      <c r="V35" s="60"/>
      <c r="W35" s="76"/>
      <c r="X35" s="64"/>
      <c r="Y35" s="64"/>
      <c r="Z35" s="64"/>
      <c r="AA35" s="64"/>
      <c r="AB35" s="64"/>
      <c r="AC35" s="64"/>
      <c r="AD35" s="110"/>
      <c r="AE35" s="64"/>
      <c r="AF35" s="64"/>
      <c r="AG35" s="64"/>
      <c r="AH35" s="64"/>
    </row>
    <row r="36" spans="1:34">
      <c r="A36" s="61"/>
      <c r="B36" s="61"/>
      <c r="C36" s="61"/>
      <c r="D36" s="61"/>
      <c r="E36" s="61"/>
      <c r="F36" s="61"/>
      <c r="G36" s="61"/>
      <c r="H36" s="61"/>
      <c r="I36" s="76"/>
      <c r="L36" s="60"/>
      <c r="M36" s="60"/>
      <c r="N36" s="85" t="s">
        <v>883</v>
      </c>
      <c r="O36" s="86" t="e">
        <f t="shared" si="1"/>
        <v>#REF!</v>
      </c>
      <c r="P36" s="128" t="e">
        <f t="shared" si="0"/>
        <v>#REF!</v>
      </c>
      <c r="Q36" s="60"/>
      <c r="R36" s="60"/>
      <c r="S36" s="60"/>
      <c r="T36" s="60"/>
      <c r="U36" s="60"/>
      <c r="V36" s="60"/>
      <c r="W36" s="76"/>
      <c r="X36" s="64"/>
      <c r="Y36" s="64"/>
      <c r="Z36" s="64"/>
      <c r="AA36" s="64"/>
      <c r="AB36" s="62" t="s">
        <v>642</v>
      </c>
      <c r="AC36" s="63" t="e">
        <f>GETPIVOTDATA("SPARES COST (NGN)",$X$8,"LOCATION","AK, LAGOS")</f>
        <v>#REF!</v>
      </c>
      <c r="AD36" s="109" t="e">
        <f>AC36/($AC$36+$AC$37)</f>
        <v>#REF!</v>
      </c>
      <c r="AE36" s="64"/>
      <c r="AF36" s="64"/>
      <c r="AG36" s="64"/>
      <c r="AH36" s="64"/>
    </row>
    <row r="37" spans="1:34">
      <c r="A37" s="61"/>
      <c r="B37" s="61"/>
      <c r="C37" s="61"/>
      <c r="D37" s="61"/>
      <c r="E37" s="61"/>
      <c r="F37" s="61"/>
      <c r="G37" s="61"/>
      <c r="H37" s="61"/>
      <c r="I37" s="76"/>
      <c r="L37" s="60"/>
      <c r="M37" s="60"/>
      <c r="N37" s="85" t="s">
        <v>884</v>
      </c>
      <c r="O37" s="86" t="e">
        <f t="shared" si="1"/>
        <v>#REF!</v>
      </c>
      <c r="P37" s="128" t="e">
        <f t="shared" si="0"/>
        <v>#REF!</v>
      </c>
      <c r="Q37" s="60"/>
      <c r="R37" s="60"/>
      <c r="S37" s="60"/>
      <c r="T37" s="60"/>
      <c r="U37" s="60"/>
      <c r="V37" s="60"/>
      <c r="W37" s="76"/>
      <c r="X37" s="64"/>
      <c r="Y37" s="64"/>
      <c r="Z37" s="64"/>
      <c r="AA37" s="64"/>
      <c r="AB37" s="62" t="s">
        <v>875</v>
      </c>
      <c r="AC37" s="63" t="e">
        <f>$Y$7-AC36</f>
        <v>#REF!</v>
      </c>
      <c r="AD37" s="109" t="e">
        <f>AC37/($AC$36+$AC$37)</f>
        <v>#REF!</v>
      </c>
      <c r="AE37" s="64"/>
      <c r="AF37" s="64"/>
      <c r="AG37" s="64"/>
      <c r="AH37" s="64"/>
    </row>
    <row r="38" spans="1:34">
      <c r="A38" s="61"/>
      <c r="B38" s="61"/>
      <c r="C38" s="61"/>
      <c r="D38" s="61"/>
      <c r="E38" s="61"/>
      <c r="F38" s="61"/>
      <c r="G38" s="61"/>
      <c r="H38" s="61"/>
      <c r="I38" s="76"/>
      <c r="L38" s="60"/>
      <c r="M38" s="60"/>
      <c r="N38" s="85" t="s">
        <v>330</v>
      </c>
      <c r="O38" s="86" t="e">
        <f t="shared" si="1"/>
        <v>#REF!</v>
      </c>
      <c r="P38" s="128" t="e">
        <f t="shared" si="0"/>
        <v>#REF!</v>
      </c>
      <c r="Q38" s="60"/>
      <c r="R38" s="60"/>
      <c r="S38" s="60"/>
      <c r="T38" s="60"/>
      <c r="U38" s="60"/>
      <c r="V38" s="60"/>
      <c r="W38" s="76"/>
      <c r="X38" s="64"/>
      <c r="Y38" s="64"/>
      <c r="Z38" s="64"/>
      <c r="AA38" s="64"/>
      <c r="AB38" s="64"/>
      <c r="AC38" s="64"/>
      <c r="AD38" s="110"/>
      <c r="AE38" s="64"/>
      <c r="AF38" s="64"/>
      <c r="AG38" s="64"/>
      <c r="AH38" s="64"/>
    </row>
    <row r="39" spans="1:34">
      <c r="A39" s="61"/>
      <c r="B39" s="61"/>
      <c r="C39" s="61"/>
      <c r="D39" s="61"/>
      <c r="E39" s="61"/>
      <c r="F39" s="61"/>
      <c r="G39" s="61"/>
      <c r="H39" s="61"/>
      <c r="I39" s="76"/>
      <c r="L39" s="60"/>
      <c r="M39" s="60"/>
      <c r="N39" s="60"/>
      <c r="O39" s="60"/>
      <c r="P39" s="60"/>
      <c r="Q39" s="60"/>
      <c r="R39" s="60"/>
      <c r="S39" s="60"/>
      <c r="T39" s="60"/>
      <c r="U39" s="60"/>
      <c r="V39" s="60"/>
      <c r="W39" s="76"/>
      <c r="X39" s="64"/>
      <c r="Y39" s="64"/>
      <c r="Z39" s="64"/>
      <c r="AA39" s="64"/>
      <c r="AB39" s="62" t="s">
        <v>556</v>
      </c>
      <c r="AC39" s="63" t="e">
        <f>GETPIVOTDATA("SPARES COST (NGN)",$X$8,"LOCATION","AK, UYO")</f>
        <v>#REF!</v>
      </c>
      <c r="AD39" s="109" t="e">
        <f>AC39/($AC$36+$AC$37)</f>
        <v>#REF!</v>
      </c>
      <c r="AE39" s="64"/>
      <c r="AF39" s="64"/>
      <c r="AG39" s="64"/>
      <c r="AH39" s="64"/>
    </row>
    <row r="40" spans="1:34">
      <c r="A40" s="61"/>
      <c r="B40" s="61"/>
      <c r="C40" s="61"/>
      <c r="D40" s="61"/>
      <c r="E40" s="61"/>
      <c r="F40" s="61"/>
      <c r="G40" s="61"/>
      <c r="H40" s="61"/>
      <c r="I40" s="76"/>
      <c r="J40" s="60"/>
      <c r="K40" s="60"/>
      <c r="L40" s="60"/>
      <c r="M40" s="60"/>
      <c r="N40" s="60"/>
      <c r="O40" s="60"/>
      <c r="P40" s="60"/>
      <c r="Q40" s="60"/>
      <c r="R40" s="60"/>
      <c r="S40" s="60"/>
      <c r="T40" s="60"/>
      <c r="U40" s="60"/>
      <c r="V40" s="60"/>
      <c r="W40" s="76"/>
      <c r="X40" s="64"/>
      <c r="Y40" s="64"/>
      <c r="Z40" s="64"/>
      <c r="AA40" s="64"/>
      <c r="AB40" s="62" t="s">
        <v>875</v>
      </c>
      <c r="AC40" s="63" t="e">
        <f>$Y$7-AC39</f>
        <v>#REF!</v>
      </c>
      <c r="AD40" s="109" t="e">
        <f>AC40/($AC$36+$AC$37)</f>
        <v>#REF!</v>
      </c>
      <c r="AE40" s="64"/>
      <c r="AF40" s="64"/>
      <c r="AG40" s="64"/>
      <c r="AH40" s="64"/>
    </row>
    <row r="41" spans="1:34">
      <c r="A41" s="61"/>
      <c r="B41" s="61"/>
      <c r="C41" s="61"/>
      <c r="D41" s="61"/>
      <c r="E41" s="61"/>
      <c r="F41" s="61"/>
      <c r="G41" s="61"/>
      <c r="H41" s="61"/>
      <c r="I41" s="76"/>
      <c r="J41" s="60"/>
      <c r="K41" s="60"/>
      <c r="L41" s="60"/>
      <c r="M41" s="60"/>
      <c r="N41" s="60"/>
      <c r="O41" s="60"/>
      <c r="P41" s="60"/>
      <c r="Q41" s="60"/>
      <c r="R41" s="60"/>
      <c r="S41" s="60"/>
      <c r="T41" s="60"/>
      <c r="U41" s="60"/>
      <c r="V41" s="60"/>
      <c r="W41" s="76"/>
      <c r="X41" s="64"/>
      <c r="Y41" s="64"/>
      <c r="Z41" s="64"/>
      <c r="AA41" s="64"/>
      <c r="AB41" s="64"/>
      <c r="AC41" s="64"/>
      <c r="AD41" s="110"/>
      <c r="AE41" s="64"/>
      <c r="AF41" s="64"/>
      <c r="AG41" s="64"/>
      <c r="AH41" s="64"/>
    </row>
    <row r="42" spans="1:34">
      <c r="A42" s="61"/>
      <c r="B42" s="61"/>
      <c r="C42" s="61"/>
      <c r="D42" s="61"/>
      <c r="E42" s="61"/>
      <c r="F42" s="61"/>
      <c r="G42" s="61"/>
      <c r="H42" s="61"/>
      <c r="I42" s="76"/>
      <c r="J42" s="60"/>
      <c r="K42" s="60"/>
      <c r="L42" s="60"/>
      <c r="M42" s="60"/>
      <c r="N42" s="60"/>
      <c r="O42" s="60"/>
      <c r="P42" s="60"/>
      <c r="Q42" s="60"/>
      <c r="R42" s="60"/>
      <c r="S42" s="60"/>
      <c r="T42" s="60"/>
      <c r="U42" s="60"/>
      <c r="V42" s="60"/>
      <c r="W42" s="76"/>
      <c r="X42" s="64"/>
      <c r="Y42" s="64"/>
      <c r="Z42" s="64"/>
      <c r="AA42" s="64"/>
      <c r="AB42" s="62" t="s">
        <v>652</v>
      </c>
      <c r="AC42" s="63" t="e">
        <f>GETPIVOTDATA("SPARES COST (NGN)",$X$8,"LOCATION","CHAIRMAN UYO")</f>
        <v>#REF!</v>
      </c>
      <c r="AD42" s="109" t="e">
        <f>AC42/($AC$36+$AC$37)</f>
        <v>#REF!</v>
      </c>
      <c r="AE42" s="64"/>
      <c r="AF42" s="64"/>
      <c r="AG42" s="64"/>
      <c r="AH42" s="64"/>
    </row>
    <row r="43" spans="1:34">
      <c r="A43" s="61"/>
      <c r="B43" s="61"/>
      <c r="C43" s="61"/>
      <c r="D43" s="61"/>
      <c r="E43" s="61"/>
      <c r="F43" s="61"/>
      <c r="G43" s="61"/>
      <c r="H43" s="61"/>
      <c r="I43" s="76"/>
      <c r="J43" s="60"/>
      <c r="K43" s="60"/>
      <c r="L43" s="60"/>
      <c r="M43" s="60"/>
      <c r="N43" s="60"/>
      <c r="O43" s="60"/>
      <c r="P43" s="60"/>
      <c r="Q43" s="60"/>
      <c r="R43" s="60"/>
      <c r="S43" s="60"/>
      <c r="T43" s="60"/>
      <c r="U43" s="60"/>
      <c r="V43" s="60"/>
      <c r="W43" s="76"/>
      <c r="X43" s="64"/>
      <c r="Y43" s="64"/>
      <c r="Z43" s="64"/>
      <c r="AA43" s="64"/>
      <c r="AB43" s="62" t="s">
        <v>875</v>
      </c>
      <c r="AC43" s="63" t="e">
        <f>$Y$7-AC42</f>
        <v>#REF!</v>
      </c>
      <c r="AD43" s="109" t="e">
        <f>AC43/($AC$36+$AC$37)</f>
        <v>#REF!</v>
      </c>
      <c r="AE43" s="64"/>
      <c r="AF43" s="64"/>
      <c r="AG43" s="64"/>
      <c r="AH43" s="64"/>
    </row>
    <row r="44" spans="1:34">
      <c r="A44" s="61"/>
      <c r="B44" s="61"/>
      <c r="C44" s="61"/>
      <c r="D44" s="61"/>
      <c r="E44" s="61"/>
      <c r="F44" s="61"/>
      <c r="G44" s="61"/>
      <c r="H44" s="61"/>
      <c r="I44" s="76"/>
      <c r="J44" s="60"/>
      <c r="K44" s="60"/>
      <c r="L44" s="60"/>
      <c r="M44" s="60"/>
      <c r="N44" s="60"/>
      <c r="O44" s="60"/>
      <c r="P44" s="60"/>
      <c r="Q44" s="60"/>
      <c r="R44" s="60"/>
      <c r="S44" s="60"/>
      <c r="T44" s="60"/>
      <c r="U44" s="60"/>
      <c r="V44" s="60"/>
      <c r="W44" s="76"/>
      <c r="X44" s="64"/>
      <c r="Y44" s="64"/>
      <c r="Z44" s="64"/>
      <c r="AA44" s="64"/>
      <c r="AB44" s="64"/>
      <c r="AC44" s="64"/>
      <c r="AD44" s="64"/>
      <c r="AE44" s="64"/>
      <c r="AF44" s="64"/>
      <c r="AG44" s="64"/>
      <c r="AH44" s="64"/>
    </row>
    <row r="45" spans="1:34">
      <c r="A45" s="61"/>
      <c r="B45" s="61"/>
      <c r="C45" s="61"/>
      <c r="D45" s="61"/>
      <c r="E45" s="61"/>
      <c r="F45" s="61"/>
      <c r="G45" s="61"/>
      <c r="H45" s="61"/>
      <c r="I45" s="76"/>
      <c r="J45" s="60"/>
      <c r="K45" s="60"/>
      <c r="L45" s="60"/>
      <c r="M45" s="60"/>
      <c r="N45" s="60"/>
      <c r="O45" s="60"/>
      <c r="P45" s="60"/>
      <c r="Q45" s="60"/>
      <c r="R45" s="60"/>
      <c r="S45" s="60"/>
      <c r="T45" s="60"/>
      <c r="U45" s="60"/>
      <c r="V45" s="60"/>
      <c r="W45" s="76"/>
      <c r="X45" s="64"/>
      <c r="Y45" s="64"/>
      <c r="Z45" s="64"/>
      <c r="AA45" s="64"/>
      <c r="AB45" s="64"/>
      <c r="AC45" s="64"/>
      <c r="AD45" s="64"/>
      <c r="AE45" s="64"/>
      <c r="AF45" s="64"/>
      <c r="AG45" s="64"/>
      <c r="AH45" s="64"/>
    </row>
    <row r="46" spans="1:34">
      <c r="A46" s="61"/>
      <c r="B46" s="61"/>
      <c r="C46" s="61"/>
      <c r="D46" s="61"/>
      <c r="E46" s="61"/>
      <c r="F46" s="61"/>
      <c r="G46" s="61"/>
      <c r="H46" s="61"/>
      <c r="I46" s="76"/>
      <c r="J46" s="60"/>
      <c r="K46" s="60"/>
      <c r="L46" s="60"/>
      <c r="M46" s="60"/>
      <c r="N46" s="60"/>
      <c r="O46" s="60"/>
      <c r="P46" s="60"/>
      <c r="Q46" s="60"/>
      <c r="R46" s="60"/>
      <c r="S46" s="60"/>
      <c r="T46" s="60"/>
      <c r="U46" s="60"/>
      <c r="V46" s="60"/>
      <c r="W46" s="76"/>
      <c r="X46" s="64"/>
      <c r="Y46" s="64"/>
      <c r="Z46" s="64"/>
      <c r="AA46" s="64"/>
      <c r="AB46" s="64"/>
      <c r="AC46" s="64"/>
      <c r="AD46" s="64"/>
      <c r="AE46" s="64"/>
      <c r="AF46" s="64"/>
      <c r="AG46" s="64"/>
      <c r="AH46" s="64"/>
    </row>
    <row r="47" spans="1:34">
      <c r="A47" s="88" t="s">
        <v>885</v>
      </c>
      <c r="B47" s="61"/>
      <c r="C47" s="61"/>
      <c r="D47" s="61"/>
      <c r="E47" s="61"/>
      <c r="F47" s="61"/>
      <c r="G47" s="61"/>
      <c r="H47" s="61"/>
      <c r="I47" s="76"/>
      <c r="J47" s="60"/>
      <c r="K47" s="60"/>
      <c r="L47" s="60"/>
      <c r="M47" s="60"/>
      <c r="N47" s="60"/>
      <c r="O47" s="60"/>
      <c r="P47" s="60"/>
      <c r="Q47" s="60"/>
      <c r="R47" s="60"/>
      <c r="S47" s="60"/>
      <c r="T47" s="60"/>
      <c r="U47" s="60"/>
      <c r="V47" s="60"/>
      <c r="W47" s="76"/>
      <c r="X47" s="64"/>
      <c r="Y47" s="64"/>
      <c r="Z47" s="64"/>
      <c r="AA47" s="64"/>
      <c r="AB47" s="64"/>
      <c r="AC47" s="64"/>
      <c r="AD47" s="64"/>
      <c r="AE47" s="64"/>
      <c r="AF47" s="64"/>
      <c r="AG47" s="64"/>
      <c r="AH47" s="64"/>
    </row>
    <row r="48" spans="1:34">
      <c r="A48" s="61"/>
      <c r="B48" s="61"/>
      <c r="C48" s="61"/>
      <c r="D48" s="61"/>
      <c r="E48" s="87" t="s">
        <v>886</v>
      </c>
      <c r="F48" s="61"/>
      <c r="G48" s="61"/>
      <c r="H48" s="61"/>
      <c r="I48" s="76"/>
      <c r="J48" s="60"/>
      <c r="K48" s="60"/>
      <c r="L48" s="60"/>
      <c r="M48" s="60"/>
      <c r="N48" s="60"/>
      <c r="O48" s="60"/>
      <c r="P48" s="60"/>
      <c r="Q48" s="60"/>
      <c r="R48" s="60"/>
      <c r="S48" s="60"/>
      <c r="T48" s="60"/>
      <c r="U48" s="60"/>
      <c r="V48" s="60"/>
      <c r="W48" s="76"/>
      <c r="X48" s="90" t="s">
        <v>887</v>
      </c>
      <c r="Y48" s="64"/>
      <c r="Z48" s="64"/>
      <c r="AA48" s="64"/>
      <c r="AB48" s="90" t="s">
        <v>888</v>
      </c>
      <c r="AC48" s="64"/>
      <c r="AD48" s="64"/>
      <c r="AE48" s="64"/>
      <c r="AF48" s="64"/>
      <c r="AG48" s="64"/>
      <c r="AH48" s="64"/>
    </row>
    <row r="49" spans="1:34" ht="15" thickBot="1">
      <c r="A49" s="291" t="s">
        <v>4</v>
      </c>
      <c r="B49" s="291" t="s">
        <v>871</v>
      </c>
      <c r="C49" s="61"/>
      <c r="D49" s="61"/>
      <c r="E49" s="61"/>
      <c r="F49" s="61"/>
      <c r="G49" s="61"/>
      <c r="H49" s="61"/>
      <c r="I49" s="76"/>
      <c r="J49" s="60"/>
      <c r="K49" s="60"/>
      <c r="L49" s="60"/>
      <c r="M49" s="60"/>
      <c r="N49" s="60"/>
      <c r="O49" s="60"/>
      <c r="P49" s="60"/>
      <c r="Q49" s="60"/>
      <c r="R49" s="60"/>
      <c r="S49" s="60"/>
      <c r="T49" s="60"/>
      <c r="U49" s="60"/>
      <c r="V49" s="60"/>
      <c r="W49" s="76"/>
      <c r="X49" s="64"/>
      <c r="Y49" s="64"/>
      <c r="Z49" s="64"/>
      <c r="AA49" s="64"/>
      <c r="AB49" s="64"/>
      <c r="AC49" s="64"/>
      <c r="AD49" s="64"/>
      <c r="AE49" s="64"/>
      <c r="AF49" s="64"/>
      <c r="AG49" s="64"/>
      <c r="AH49" s="64"/>
    </row>
    <row r="50" spans="1:34" ht="15" thickBot="1">
      <c r="A50" s="292" t="s">
        <v>24</v>
      </c>
      <c r="B50" s="293">
        <v>1300707</v>
      </c>
      <c r="C50" s="61"/>
      <c r="D50" s="61"/>
      <c r="E50" s="78" t="s">
        <v>889</v>
      </c>
      <c r="F50" s="79">
        <v>532114.25</v>
      </c>
      <c r="G50" s="132" t="s">
        <v>890</v>
      </c>
      <c r="H50" s="61"/>
      <c r="I50" s="76"/>
      <c r="J50" s="60"/>
      <c r="K50" s="68">
        <f>GETPIVOTDATA("SPARES COST (NGN)",$J$51)</f>
        <v>0</v>
      </c>
      <c r="L50" s="60"/>
      <c r="M50" s="60"/>
      <c r="N50" s="60"/>
      <c r="O50" s="60"/>
      <c r="P50" s="60"/>
      <c r="Q50" s="60"/>
      <c r="R50" s="60"/>
      <c r="S50" s="60"/>
      <c r="T50" s="60"/>
      <c r="U50" s="60"/>
      <c r="V50" s="60"/>
      <c r="W50" s="76"/>
      <c r="X50" s="102" t="s">
        <v>891</v>
      </c>
      <c r="Y50" t="s">
        <v>892</v>
      </c>
      <c r="Z50" s="64"/>
      <c r="AA50" s="64"/>
      <c r="AB50" s="82" t="s">
        <v>893</v>
      </c>
      <c r="AC50" s="83">
        <v>532114.25</v>
      </c>
      <c r="AD50" s="82"/>
      <c r="AE50" s="64"/>
      <c r="AF50" s="64"/>
      <c r="AG50" s="64"/>
      <c r="AH50" s="64"/>
    </row>
    <row r="51" spans="1:34">
      <c r="A51" s="292" t="s">
        <v>107</v>
      </c>
      <c r="B51" s="293">
        <v>206555.9</v>
      </c>
      <c r="C51" s="61"/>
      <c r="D51" s="61"/>
      <c r="E51" s="78" t="s">
        <v>24</v>
      </c>
      <c r="F51" s="79">
        <f t="shared" ref="F51:F61" si="2">GETPIVOTDATA("SPARES COST",$A$49,"MONTH",$E51)</f>
        <v>1300707</v>
      </c>
      <c r="G51" s="127">
        <f t="shared" ref="G51:G61" si="3">F51/F50-1</f>
        <v>1.4444130184448172</v>
      </c>
      <c r="H51" s="61"/>
      <c r="I51" s="76"/>
      <c r="J51" t="s">
        <v>12</v>
      </c>
      <c r="K51" s="100" t="s">
        <v>871</v>
      </c>
      <c r="L51" s="60"/>
      <c r="M51" s="60"/>
      <c r="N51" s="60"/>
      <c r="O51" s="60"/>
      <c r="P51" s="60"/>
      <c r="Q51" s="60"/>
      <c r="R51" s="60"/>
      <c r="S51" s="60"/>
      <c r="T51" s="60"/>
      <c r="U51" s="60"/>
      <c r="V51" s="60"/>
      <c r="W51" s="76"/>
      <c r="X51" s="93" t="s">
        <v>873</v>
      </c>
      <c r="Y51" s="103"/>
      <c r="Z51" s="64"/>
      <c r="AA51" s="64"/>
      <c r="AB51" s="82" t="s">
        <v>24</v>
      </c>
      <c r="AC51" s="83" t="e">
        <f>GETPIVOTDATA("SPARES COST (NGN)",$X$50,"MONTH",$AB51)</f>
        <v>#REF!</v>
      </c>
      <c r="AD51" s="84" t="e">
        <f t="shared" ref="AD51:AD61" si="4">AC51/AC50-1</f>
        <v>#REF!</v>
      </c>
      <c r="AE51" s="64"/>
      <c r="AF51" s="64"/>
      <c r="AG51" s="64"/>
      <c r="AH51" s="64"/>
    </row>
    <row r="52" spans="1:34">
      <c r="A52" s="292" t="s">
        <v>164</v>
      </c>
      <c r="B52" s="293">
        <v>162000</v>
      </c>
      <c r="C52" s="61"/>
      <c r="D52" s="61"/>
      <c r="E52" s="78" t="s">
        <v>107</v>
      </c>
      <c r="F52" s="79">
        <f t="shared" si="2"/>
        <v>206555.9</v>
      </c>
      <c r="G52" s="127">
        <f t="shared" si="3"/>
        <v>-0.84119721044016837</v>
      </c>
      <c r="H52" s="61"/>
      <c r="I52" s="76"/>
      <c r="J52" s="93"/>
      <c r="K52" s="94"/>
      <c r="L52" s="60"/>
      <c r="M52" s="60"/>
      <c r="N52" s="60"/>
      <c r="O52" s="60"/>
      <c r="P52" s="60"/>
      <c r="Q52" s="60"/>
      <c r="R52" s="60"/>
      <c r="S52" s="60"/>
      <c r="T52" t="e">
        <f>INDEX(VEH_DES,MATCH(U52,VEH_COST,0))</f>
        <v>#NUM!</v>
      </c>
      <c r="U52" s="108" t="e" cm="1">
        <f t="array" ref="U52:U56">LARGE(VEH_COST,{1;2;3;4;5})</f>
        <v>#NUM!</v>
      </c>
      <c r="V52" s="60"/>
      <c r="W52" s="76"/>
      <c r="X52" s="93" t="s">
        <v>872</v>
      </c>
      <c r="Y52" s="103"/>
      <c r="Z52" s="64"/>
      <c r="AA52" s="64"/>
      <c r="AB52" s="82" t="s">
        <v>107</v>
      </c>
      <c r="AC52" s="83" t="e">
        <f t="shared" ref="AC52:AC61" si="5">GETPIVOTDATA("SPARES COST (NGN)",$X$50,"MONTH",$AB52)</f>
        <v>#REF!</v>
      </c>
      <c r="AD52" s="84" t="e">
        <f t="shared" si="4"/>
        <v>#REF!</v>
      </c>
      <c r="AE52" s="64"/>
      <c r="AF52" s="64"/>
      <c r="AG52" s="64"/>
      <c r="AH52" s="64"/>
    </row>
    <row r="53" spans="1:34">
      <c r="A53" s="292" t="s">
        <v>182</v>
      </c>
      <c r="B53" s="293"/>
      <c r="C53" s="61"/>
      <c r="D53" s="61"/>
      <c r="E53" s="78" t="s">
        <v>164</v>
      </c>
      <c r="F53" s="79">
        <f t="shared" si="2"/>
        <v>162000</v>
      </c>
      <c r="G53" s="127">
        <f t="shared" si="3"/>
        <v>-0.21570867740887578</v>
      </c>
      <c r="H53" s="61"/>
      <c r="I53" s="76"/>
      <c r="J53" s="93" t="s">
        <v>872</v>
      </c>
      <c r="K53" s="94"/>
      <c r="L53" s="60"/>
      <c r="M53" s="60"/>
      <c r="N53" s="60"/>
      <c r="O53" s="60"/>
      <c r="P53" s="60"/>
      <c r="Q53" s="60"/>
      <c r="R53" s="60"/>
      <c r="S53" s="60"/>
      <c r="T53" t="e">
        <f>INDEX(VEH_DES,MATCH(U53,VEH_COST,0))</f>
        <v>#NUM!</v>
      </c>
      <c r="U53" s="108" t="e">
        <v>#NUM!</v>
      </c>
      <c r="V53" s="60"/>
      <c r="W53" s="76"/>
      <c r="Z53" s="64"/>
      <c r="AA53" s="64"/>
      <c r="AB53" s="82" t="s">
        <v>164</v>
      </c>
      <c r="AC53" s="83" t="e">
        <f t="shared" si="5"/>
        <v>#REF!</v>
      </c>
      <c r="AD53" s="84" t="e">
        <f t="shared" si="4"/>
        <v>#REF!</v>
      </c>
      <c r="AE53" s="64"/>
      <c r="AF53" s="64"/>
      <c r="AG53" s="64"/>
      <c r="AH53" s="64"/>
    </row>
    <row r="54" spans="1:34">
      <c r="A54" s="292" t="s">
        <v>33</v>
      </c>
      <c r="B54" s="293">
        <v>17000</v>
      </c>
      <c r="C54" s="61"/>
      <c r="D54" s="61"/>
      <c r="E54" s="78" t="s">
        <v>182</v>
      </c>
      <c r="F54" s="79">
        <f t="shared" si="2"/>
        <v>0</v>
      </c>
      <c r="G54" s="127">
        <f t="shared" si="3"/>
        <v>-1</v>
      </c>
      <c r="H54" s="61"/>
      <c r="I54" s="76"/>
      <c r="L54" s="60"/>
      <c r="M54" s="60"/>
      <c r="N54" s="60"/>
      <c r="O54" s="60"/>
      <c r="P54" s="60"/>
      <c r="Q54" s="60"/>
      <c r="R54" s="60"/>
      <c r="S54" s="60"/>
      <c r="T54" t="e">
        <f>INDEX(VEH_DES,MATCH(U54,VEH_COST,0))</f>
        <v>#NUM!</v>
      </c>
      <c r="U54" s="108" t="e">
        <v>#NUM!</v>
      </c>
      <c r="V54" s="60"/>
      <c r="W54" s="76"/>
      <c r="Z54" s="64"/>
      <c r="AA54" s="64"/>
      <c r="AB54" s="82" t="s">
        <v>182</v>
      </c>
      <c r="AC54" s="83" t="e">
        <f t="shared" si="5"/>
        <v>#REF!</v>
      </c>
      <c r="AD54" s="84" t="e">
        <f t="shared" si="4"/>
        <v>#REF!</v>
      </c>
      <c r="AE54" s="64"/>
      <c r="AF54" s="64"/>
      <c r="AG54" s="64"/>
      <c r="AH54" s="64"/>
    </row>
    <row r="55" spans="1:34">
      <c r="A55" s="292" t="s">
        <v>873</v>
      </c>
      <c r="B55" s="293"/>
      <c r="C55" s="61"/>
      <c r="D55" s="61"/>
      <c r="E55" s="78" t="s">
        <v>33</v>
      </c>
      <c r="F55" s="79">
        <f t="shared" si="2"/>
        <v>17000</v>
      </c>
      <c r="G55" s="127" t="e">
        <f t="shared" si="3"/>
        <v>#DIV/0!</v>
      </c>
      <c r="H55" s="61"/>
      <c r="I55" s="76"/>
      <c r="L55" s="60"/>
      <c r="M55" s="60"/>
      <c r="N55" s="60"/>
      <c r="O55" s="60"/>
      <c r="P55" s="60"/>
      <c r="Q55" s="60"/>
      <c r="R55" s="60"/>
      <c r="S55" s="60"/>
      <c r="T55" t="e">
        <f>INDEX(VEH_DES,MATCH(U55,VEH_COST,0))</f>
        <v>#NUM!</v>
      </c>
      <c r="U55" s="108" t="e">
        <v>#NUM!</v>
      </c>
      <c r="V55" s="60"/>
      <c r="W55" s="76"/>
      <c r="Z55" s="64"/>
      <c r="AA55" s="64"/>
      <c r="AB55" s="82" t="s">
        <v>33</v>
      </c>
      <c r="AC55" s="83" t="e">
        <f t="shared" si="5"/>
        <v>#REF!</v>
      </c>
      <c r="AD55" s="84" t="e">
        <f t="shared" si="4"/>
        <v>#REF!</v>
      </c>
      <c r="AE55" s="64"/>
      <c r="AF55" s="64"/>
      <c r="AG55" s="64"/>
      <c r="AH55" s="64"/>
    </row>
    <row r="56" spans="1:34">
      <c r="A56" s="292" t="s">
        <v>872</v>
      </c>
      <c r="B56" s="293">
        <v>1686262.9</v>
      </c>
      <c r="C56" s="61"/>
      <c r="D56" s="61"/>
      <c r="E56" s="78" t="s">
        <v>214</v>
      </c>
      <c r="F56" s="79" t="e">
        <f t="shared" si="2"/>
        <v>#REF!</v>
      </c>
      <c r="G56" s="127" t="e">
        <f t="shared" si="3"/>
        <v>#REF!</v>
      </c>
      <c r="H56" s="61"/>
      <c r="I56" s="76"/>
      <c r="L56" s="60"/>
      <c r="M56" s="60"/>
      <c r="N56" s="60"/>
      <c r="O56" s="60"/>
      <c r="P56" s="60"/>
      <c r="Q56" s="60"/>
      <c r="R56" s="60"/>
      <c r="S56" s="60"/>
      <c r="T56" t="e">
        <f>INDEX(VEH_DES,MATCH(U56,VEH_COST,0))</f>
        <v>#NUM!</v>
      </c>
      <c r="U56" s="108" t="e">
        <v>#NUM!</v>
      </c>
      <c r="V56" s="60"/>
      <c r="W56" s="76"/>
      <c r="Z56" s="64"/>
      <c r="AA56" s="64"/>
      <c r="AB56" s="82" t="s">
        <v>214</v>
      </c>
      <c r="AC56" s="83" t="e">
        <f t="shared" si="5"/>
        <v>#REF!</v>
      </c>
      <c r="AD56" s="84" t="e">
        <f t="shared" si="4"/>
        <v>#REF!</v>
      </c>
      <c r="AE56" s="64"/>
      <c r="AF56" s="64"/>
      <c r="AG56" s="64"/>
      <c r="AH56" s="64"/>
    </row>
    <row r="57" spans="1:34">
      <c r="C57" s="61"/>
      <c r="D57" s="61"/>
      <c r="E57" s="78" t="s">
        <v>231</v>
      </c>
      <c r="F57" s="79" t="e">
        <f t="shared" si="2"/>
        <v>#REF!</v>
      </c>
      <c r="G57" s="127" t="e">
        <f t="shared" si="3"/>
        <v>#REF!</v>
      </c>
      <c r="H57" s="61"/>
      <c r="I57" s="76"/>
      <c r="L57" s="60"/>
      <c r="M57" s="60"/>
      <c r="N57" s="60"/>
      <c r="O57" s="60"/>
      <c r="P57" s="60"/>
      <c r="Q57" s="60"/>
      <c r="R57" s="60"/>
      <c r="S57" s="60"/>
      <c r="T57" s="60"/>
      <c r="U57" s="60"/>
      <c r="V57" s="60"/>
      <c r="W57" s="76"/>
      <c r="Z57" s="64"/>
      <c r="AA57" s="64"/>
      <c r="AB57" s="82" t="s">
        <v>231</v>
      </c>
      <c r="AC57" s="83" t="e">
        <f t="shared" si="5"/>
        <v>#REF!</v>
      </c>
      <c r="AD57" s="84" t="e">
        <f t="shared" si="4"/>
        <v>#REF!</v>
      </c>
      <c r="AE57" s="64"/>
      <c r="AF57" s="64"/>
      <c r="AG57" s="64"/>
      <c r="AH57" s="64"/>
    </row>
    <row r="58" spans="1:34">
      <c r="C58" s="61"/>
      <c r="D58" s="61"/>
      <c r="E58" s="78" t="s">
        <v>882</v>
      </c>
      <c r="F58" s="79" t="e">
        <f t="shared" si="2"/>
        <v>#REF!</v>
      </c>
      <c r="G58" s="127" t="e">
        <f t="shared" si="3"/>
        <v>#REF!</v>
      </c>
      <c r="H58" s="61"/>
      <c r="I58" s="76"/>
      <c r="L58" s="60"/>
      <c r="M58" s="60"/>
      <c r="N58" s="60"/>
      <c r="O58" s="60"/>
      <c r="P58" s="60"/>
      <c r="Q58" s="60"/>
      <c r="R58" s="60"/>
      <c r="S58" s="60"/>
      <c r="T58" s="60"/>
      <c r="U58" s="60"/>
      <c r="V58" s="60"/>
      <c r="W58" s="76"/>
      <c r="Z58" s="64"/>
      <c r="AA58" s="64"/>
      <c r="AB58" s="82" t="s">
        <v>882</v>
      </c>
      <c r="AC58" s="83" t="e">
        <f t="shared" si="5"/>
        <v>#REF!</v>
      </c>
      <c r="AD58" s="84" t="e">
        <f t="shared" si="4"/>
        <v>#REF!</v>
      </c>
      <c r="AE58" s="64"/>
      <c r="AF58" s="64"/>
      <c r="AG58" s="64"/>
      <c r="AH58" s="64"/>
    </row>
    <row r="59" spans="1:34">
      <c r="C59" s="61"/>
      <c r="D59" s="61"/>
      <c r="E59" s="78" t="s">
        <v>883</v>
      </c>
      <c r="F59" s="79" t="e">
        <f t="shared" si="2"/>
        <v>#REF!</v>
      </c>
      <c r="G59" s="127" t="e">
        <f t="shared" si="3"/>
        <v>#REF!</v>
      </c>
      <c r="H59" s="61"/>
      <c r="I59" s="76"/>
      <c r="L59" s="60"/>
      <c r="M59" s="60"/>
      <c r="N59" s="60"/>
      <c r="O59" s="60"/>
      <c r="P59" s="60"/>
      <c r="Q59" s="60"/>
      <c r="R59" s="60"/>
      <c r="S59" s="60"/>
      <c r="T59" s="60"/>
      <c r="U59" s="60"/>
      <c r="V59" s="60"/>
      <c r="W59" s="76"/>
      <c r="Z59" s="64"/>
      <c r="AA59" s="64"/>
      <c r="AB59" s="82" t="s">
        <v>883</v>
      </c>
      <c r="AC59" s="83" t="e">
        <f t="shared" si="5"/>
        <v>#REF!</v>
      </c>
      <c r="AD59" s="84" t="e">
        <f t="shared" si="4"/>
        <v>#REF!</v>
      </c>
      <c r="AE59" s="64"/>
      <c r="AF59" s="64"/>
      <c r="AG59" s="64"/>
      <c r="AH59" s="64"/>
    </row>
    <row r="60" spans="1:34">
      <c r="C60" s="61"/>
      <c r="D60" s="61"/>
      <c r="E60" s="78" t="s">
        <v>884</v>
      </c>
      <c r="F60" s="79" t="e">
        <f t="shared" si="2"/>
        <v>#REF!</v>
      </c>
      <c r="G60" s="127" t="e">
        <f t="shared" si="3"/>
        <v>#REF!</v>
      </c>
      <c r="H60" s="61"/>
      <c r="I60" s="76"/>
      <c r="L60" s="60"/>
      <c r="M60" s="60"/>
      <c r="N60" s="60"/>
      <c r="O60" s="60"/>
      <c r="P60" s="60"/>
      <c r="Q60" s="60"/>
      <c r="R60" s="60"/>
      <c r="S60" s="60"/>
      <c r="T60" s="60"/>
      <c r="U60" s="60"/>
      <c r="V60" s="60"/>
      <c r="W60" s="76"/>
      <c r="Z60" s="64"/>
      <c r="AA60" s="64"/>
      <c r="AB60" s="82" t="s">
        <v>884</v>
      </c>
      <c r="AC60" s="83" t="e">
        <f t="shared" si="5"/>
        <v>#REF!</v>
      </c>
      <c r="AD60" s="84" t="e">
        <f t="shared" si="4"/>
        <v>#REF!</v>
      </c>
      <c r="AE60" s="64"/>
      <c r="AF60" s="64"/>
      <c r="AG60" s="64"/>
      <c r="AH60" s="64"/>
    </row>
    <row r="61" spans="1:34">
      <c r="C61" s="61"/>
      <c r="D61" s="61"/>
      <c r="E61" s="78" t="s">
        <v>330</v>
      </c>
      <c r="F61" s="79" t="e">
        <f t="shared" si="2"/>
        <v>#REF!</v>
      </c>
      <c r="G61" s="127" t="e">
        <f t="shared" si="3"/>
        <v>#REF!</v>
      </c>
      <c r="H61" s="61"/>
      <c r="I61" s="76"/>
      <c r="L61" s="60"/>
      <c r="M61" s="60"/>
      <c r="N61" s="60"/>
      <c r="O61" s="60"/>
      <c r="P61" s="60"/>
      <c r="Q61" s="60"/>
      <c r="R61" s="60"/>
      <c r="S61" s="60"/>
      <c r="T61" s="60"/>
      <c r="U61" s="60"/>
      <c r="V61" s="60"/>
      <c r="W61" s="76"/>
      <c r="Z61" s="64"/>
      <c r="AA61" s="64"/>
      <c r="AB61" s="82" t="s">
        <v>330</v>
      </c>
      <c r="AC61" s="83" t="e">
        <f t="shared" si="5"/>
        <v>#REF!</v>
      </c>
      <c r="AD61" s="84" t="e">
        <f t="shared" si="4"/>
        <v>#REF!</v>
      </c>
      <c r="AE61" s="64"/>
      <c r="AF61" s="64"/>
      <c r="AG61" s="64"/>
      <c r="AH61" s="64"/>
    </row>
    <row r="62" spans="1:34">
      <c r="A62" s="61"/>
      <c r="B62" s="61"/>
      <c r="C62" s="61"/>
      <c r="D62" s="61"/>
      <c r="E62" s="61"/>
      <c r="F62" s="61"/>
      <c r="G62" s="61"/>
      <c r="H62" s="61"/>
      <c r="I62" s="76"/>
      <c r="L62" s="60"/>
      <c r="M62" s="60"/>
      <c r="N62" s="60"/>
      <c r="O62" s="60"/>
      <c r="P62" s="60"/>
      <c r="Q62" s="60"/>
      <c r="R62" s="60"/>
      <c r="S62" s="60"/>
      <c r="T62" s="60"/>
      <c r="U62" s="60"/>
      <c r="V62" s="60"/>
      <c r="W62" s="76"/>
      <c r="Z62" s="64"/>
      <c r="AA62" s="64"/>
      <c r="AB62" s="64"/>
      <c r="AC62" s="64"/>
      <c r="AD62" s="64"/>
      <c r="AE62" s="64"/>
      <c r="AF62" s="64"/>
      <c r="AG62" s="64"/>
      <c r="AH62" s="64"/>
    </row>
    <row r="63" spans="1:34">
      <c r="A63" s="61"/>
      <c r="B63" s="61"/>
      <c r="C63" s="61"/>
      <c r="D63" s="61"/>
      <c r="E63" s="61"/>
      <c r="F63" s="61"/>
      <c r="G63" s="61"/>
      <c r="H63" s="61"/>
      <c r="I63" s="76"/>
      <c r="L63" s="60"/>
      <c r="M63" s="60"/>
      <c r="N63" s="60"/>
      <c r="O63" s="60"/>
      <c r="P63" s="60"/>
      <c r="Q63" s="60"/>
      <c r="R63" s="60"/>
      <c r="S63" s="60"/>
      <c r="T63" s="60"/>
      <c r="U63" s="60"/>
      <c r="V63" s="60"/>
      <c r="W63" s="76"/>
      <c r="X63" s="64"/>
      <c r="Y63" s="64"/>
      <c r="Z63" s="64"/>
      <c r="AA63" s="64"/>
      <c r="AB63" s="64"/>
      <c r="AC63" s="64"/>
      <c r="AD63" s="64"/>
      <c r="AE63" s="64"/>
      <c r="AF63" s="64"/>
      <c r="AG63" s="64"/>
      <c r="AH63" s="64"/>
    </row>
    <row r="64" spans="1:34">
      <c r="A64" s="61"/>
      <c r="B64" s="61"/>
      <c r="C64" s="61"/>
      <c r="D64" s="61"/>
      <c r="E64" s="61"/>
      <c r="F64" s="61"/>
      <c r="G64" s="61"/>
      <c r="H64" s="61"/>
      <c r="I64" s="76"/>
      <c r="L64" s="60"/>
      <c r="M64" s="60"/>
      <c r="N64" s="60"/>
      <c r="O64" s="60"/>
      <c r="P64" s="60"/>
      <c r="Q64" s="60"/>
      <c r="R64" s="60"/>
      <c r="S64" s="60"/>
      <c r="T64" s="60"/>
      <c r="U64" s="60"/>
      <c r="V64" s="60"/>
      <c r="W64" s="76"/>
      <c r="X64" s="64"/>
      <c r="Y64" s="64"/>
      <c r="Z64" s="64"/>
      <c r="AA64" s="64"/>
      <c r="AB64" s="64"/>
      <c r="AC64" s="64"/>
      <c r="AD64" s="64"/>
      <c r="AE64" s="64"/>
      <c r="AF64" s="64"/>
      <c r="AG64" s="64"/>
      <c r="AH64" s="64"/>
    </row>
    <row r="65" spans="1:34">
      <c r="A65" s="61"/>
      <c r="B65" s="61"/>
      <c r="C65" s="61"/>
      <c r="D65" s="61"/>
      <c r="E65" s="61"/>
      <c r="F65" s="61"/>
      <c r="G65" s="61"/>
      <c r="H65" s="61"/>
      <c r="I65" s="76"/>
      <c r="L65" s="60"/>
      <c r="M65" s="60"/>
      <c r="N65" s="60"/>
      <c r="O65" s="60"/>
      <c r="P65" s="60"/>
      <c r="Q65" s="60"/>
      <c r="R65" s="60"/>
      <c r="S65" s="60"/>
      <c r="T65" s="60"/>
      <c r="U65" s="60"/>
      <c r="V65" s="60"/>
      <c r="W65" s="76"/>
      <c r="X65" s="64"/>
      <c r="Y65" s="64"/>
      <c r="Z65" s="64"/>
      <c r="AA65" s="64"/>
      <c r="AB65" s="64"/>
      <c r="AC65" s="64"/>
      <c r="AD65" s="64"/>
      <c r="AE65" s="64"/>
      <c r="AF65" s="64"/>
      <c r="AG65" s="64"/>
      <c r="AH65" s="64"/>
    </row>
    <row r="66" spans="1:34">
      <c r="A66" s="61"/>
      <c r="B66" s="70">
        <f>GETPIVOTDATA("SPARES COST",$A$67)</f>
        <v>1686262.9</v>
      </c>
      <c r="C66" s="61"/>
      <c r="D66" s="61"/>
      <c r="E66" s="61"/>
      <c r="F66" s="61"/>
      <c r="G66" s="61"/>
      <c r="H66" s="61"/>
      <c r="I66" s="76"/>
      <c r="L66" s="60"/>
      <c r="M66" s="60"/>
      <c r="N66" s="60"/>
      <c r="O66" s="60"/>
      <c r="P66" s="60"/>
      <c r="Q66" s="60"/>
      <c r="R66" s="60"/>
      <c r="S66" s="60"/>
      <c r="T66" s="60"/>
      <c r="U66" s="60"/>
      <c r="V66" s="60"/>
      <c r="W66" s="76"/>
      <c r="X66" s="64"/>
      <c r="Y66" s="64"/>
      <c r="Z66" s="64"/>
      <c r="AA66" s="64"/>
      <c r="AB66" s="64"/>
      <c r="AC66" s="64"/>
      <c r="AD66" s="64"/>
      <c r="AE66" s="64"/>
      <c r="AF66" s="64"/>
      <c r="AG66" s="64"/>
      <c r="AH66" s="64"/>
    </row>
    <row r="67" spans="1:34">
      <c r="A67" s="291" t="s">
        <v>894</v>
      </c>
      <c r="B67" s="291" t="s">
        <v>871</v>
      </c>
      <c r="C67" s="61"/>
      <c r="D67" s="61"/>
      <c r="E67" s="61"/>
      <c r="F67" s="61"/>
      <c r="G67" s="61"/>
      <c r="H67" s="61"/>
      <c r="I67" s="76"/>
      <c r="L67" s="60"/>
      <c r="M67" s="60"/>
      <c r="N67" s="60"/>
      <c r="O67" s="60"/>
      <c r="P67" s="60"/>
      <c r="Q67" s="60"/>
      <c r="R67" s="60"/>
      <c r="S67" s="60"/>
      <c r="T67" s="60"/>
      <c r="U67" s="60"/>
      <c r="V67" s="60"/>
      <c r="W67" s="76"/>
      <c r="X67" s="64"/>
      <c r="Y67" s="64"/>
      <c r="Z67" s="64"/>
      <c r="AA67" s="64"/>
      <c r="AB67" s="64"/>
      <c r="AC67" s="64"/>
      <c r="AD67" s="64"/>
      <c r="AE67" s="64"/>
      <c r="AF67" s="64"/>
      <c r="AG67" s="64"/>
      <c r="AH67" s="64"/>
    </row>
    <row r="68" spans="1:34">
      <c r="A68" s="292" t="s">
        <v>845</v>
      </c>
      <c r="B68" s="293">
        <v>157195.9</v>
      </c>
      <c r="C68" s="61"/>
      <c r="D68" s="61"/>
      <c r="E68" s="61"/>
      <c r="F68" s="61"/>
      <c r="G68" s="61"/>
      <c r="H68" s="61"/>
      <c r="I68" s="76"/>
      <c r="L68" s="60"/>
      <c r="M68" s="60"/>
      <c r="N68" s="60"/>
      <c r="O68" s="60"/>
      <c r="P68" s="60"/>
      <c r="Q68" s="60"/>
      <c r="R68" s="60"/>
      <c r="S68" s="60"/>
      <c r="T68" s="60"/>
      <c r="U68" s="60"/>
      <c r="V68" s="60"/>
      <c r="W68" s="76"/>
      <c r="X68" s="64"/>
      <c r="Y68" s="64"/>
      <c r="Z68" s="64"/>
      <c r="AA68" s="64"/>
      <c r="AB68" s="64"/>
      <c r="AC68" s="64"/>
      <c r="AD68" s="64"/>
      <c r="AE68" s="64"/>
      <c r="AF68" s="64"/>
      <c r="AG68" s="64"/>
      <c r="AH68" s="64"/>
    </row>
    <row r="69" spans="1:34">
      <c r="A69" s="292" t="s">
        <v>865</v>
      </c>
      <c r="B69" s="293"/>
      <c r="C69" s="61"/>
      <c r="D69" s="61"/>
      <c r="E69" s="61"/>
      <c r="F69" s="61"/>
      <c r="G69" t="str">
        <f>INDEX(GEN_DES,MATCH(H69,GEN_COST,0))</f>
        <v>Grand Total</v>
      </c>
      <c r="H69" s="121" cm="1">
        <f t="array" ref="H69:H73">LARGE(GEN_COST,{1;2;3;4;5})</f>
        <v>1686262.9</v>
      </c>
      <c r="I69" s="76"/>
      <c r="L69" s="60"/>
      <c r="M69" s="60"/>
      <c r="N69" s="60"/>
      <c r="O69" s="60"/>
      <c r="P69" s="60"/>
      <c r="Q69" s="60"/>
      <c r="R69" s="60"/>
      <c r="S69" s="60"/>
      <c r="T69" s="60"/>
      <c r="U69" s="60"/>
      <c r="V69" s="60"/>
      <c r="W69" s="76"/>
      <c r="X69" s="64"/>
      <c r="Y69" s="64"/>
      <c r="Z69" s="64"/>
      <c r="AA69" s="64"/>
      <c r="AB69" s="64"/>
      <c r="AC69" s="64"/>
      <c r="AD69" s="64"/>
      <c r="AE69" s="64"/>
      <c r="AF69" s="64"/>
      <c r="AG69" s="64"/>
      <c r="AH69" s="64"/>
    </row>
    <row r="70" spans="1:34">
      <c r="A70" s="292" t="s">
        <v>841</v>
      </c>
      <c r="B70" s="293">
        <v>782520</v>
      </c>
      <c r="C70" s="61"/>
      <c r="D70" s="61"/>
      <c r="E70" s="61"/>
      <c r="F70" s="61"/>
      <c r="G70" t="str">
        <f>INDEX(GEN_DES,MATCH(H70,GEN_COST,0))</f>
        <v>PHC OFFICE CAT 350KVA GENERATOR</v>
      </c>
      <c r="H70" s="121">
        <v>782520</v>
      </c>
      <c r="I70" s="76"/>
      <c r="L70" s="60"/>
      <c r="M70" s="60"/>
      <c r="N70" s="60"/>
      <c r="O70" s="60"/>
      <c r="P70" s="60"/>
      <c r="Q70" s="60"/>
      <c r="R70" s="60"/>
      <c r="S70" s="60"/>
      <c r="T70" s="60"/>
      <c r="U70" s="60"/>
      <c r="V70" s="60"/>
      <c r="W70" s="76"/>
      <c r="X70" s="64"/>
      <c r="Y70" s="64"/>
      <c r="Z70" s="64"/>
      <c r="AA70" s="64"/>
      <c r="AB70" s="64"/>
      <c r="AC70" s="64"/>
      <c r="AD70" s="64"/>
      <c r="AE70" s="64"/>
      <c r="AF70" s="64"/>
      <c r="AG70" s="64"/>
      <c r="AH70" s="64"/>
    </row>
    <row r="71" spans="1:34">
      <c r="A71" s="292" t="s">
        <v>812</v>
      </c>
      <c r="B71" s="293"/>
      <c r="C71" s="61"/>
      <c r="D71" s="61"/>
      <c r="E71" s="61"/>
      <c r="F71" s="61"/>
      <c r="G71" t="str">
        <f>INDEX(GEN_DES,MATCH(H71,GEN_COST,0))</f>
        <v>AK UYO PERKINS 100KVA GENERATOR</v>
      </c>
      <c r="H71" s="121">
        <v>302488</v>
      </c>
      <c r="I71" s="76"/>
      <c r="L71" s="60"/>
      <c r="M71" s="60"/>
      <c r="N71" s="60"/>
      <c r="O71" s="60"/>
      <c r="P71" s="60"/>
      <c r="Q71" s="60"/>
      <c r="R71" s="60"/>
      <c r="S71" s="60"/>
      <c r="T71" s="60"/>
      <c r="U71" s="60"/>
      <c r="V71" s="60"/>
      <c r="W71" s="76"/>
      <c r="X71" s="64"/>
      <c r="Y71" s="64"/>
      <c r="Z71" s="64"/>
      <c r="AA71" s="64"/>
      <c r="AB71" s="64"/>
      <c r="AC71" s="64"/>
      <c r="AD71" s="64"/>
      <c r="AE71" s="64"/>
      <c r="AF71" s="64"/>
      <c r="AG71" s="64"/>
      <c r="AH71" s="64"/>
    </row>
    <row r="72" spans="1:34">
      <c r="A72" s="292" t="s">
        <v>851</v>
      </c>
      <c r="B72" s="293">
        <v>117577</v>
      </c>
      <c r="C72" s="61"/>
      <c r="D72" s="61"/>
      <c r="E72" s="61"/>
      <c r="F72" s="61"/>
      <c r="G72" t="str">
        <f>INDEX(GEN_DES,MATCH(H72,GEN_COST,0))</f>
        <v>CHAIRMAN'S MIKANO 50KVA GENERATOR</v>
      </c>
      <c r="H72" s="121">
        <v>174000</v>
      </c>
      <c r="I72" s="76"/>
      <c r="L72" s="60"/>
      <c r="M72" s="60"/>
      <c r="N72" s="60"/>
      <c r="O72" s="60"/>
      <c r="P72" s="60"/>
      <c r="Q72" s="60"/>
      <c r="R72" s="60"/>
      <c r="S72" s="60"/>
      <c r="T72" s="60"/>
      <c r="U72" s="60"/>
      <c r="V72" s="60"/>
      <c r="W72" s="76"/>
      <c r="X72" s="64"/>
      <c r="Y72" s="70">
        <f>GETPIVOTDATA("SPARES COST (NGN)",$X$73)</f>
        <v>0</v>
      </c>
      <c r="Z72" s="64"/>
      <c r="AA72" s="64"/>
      <c r="AB72" s="64"/>
      <c r="AC72" s="64"/>
      <c r="AD72" s="64"/>
      <c r="AE72" s="64"/>
      <c r="AF72" s="64"/>
      <c r="AG72" s="64"/>
      <c r="AH72" s="64"/>
    </row>
    <row r="73" spans="1:34">
      <c r="A73" s="292" t="s">
        <v>846</v>
      </c>
      <c r="B73" s="293">
        <v>174000</v>
      </c>
      <c r="C73" s="61"/>
      <c r="D73" s="61"/>
      <c r="E73" s="61"/>
      <c r="F73" s="61"/>
      <c r="G73" t="str">
        <f>INDEX(GEN_DES,MATCH(H73,GEN_COST,0))</f>
        <v>DGS MIKANO 50KVA GENERATOR</v>
      </c>
      <c r="H73" s="121">
        <v>157195.9</v>
      </c>
      <c r="I73" s="76"/>
      <c r="L73" s="60"/>
      <c r="M73" s="60"/>
      <c r="N73" s="60"/>
      <c r="O73" s="60"/>
      <c r="P73" s="60"/>
      <c r="Q73" s="60"/>
      <c r="R73" s="60"/>
      <c r="S73" s="60"/>
      <c r="T73" s="60"/>
      <c r="U73" s="60"/>
      <c r="V73" s="60"/>
      <c r="W73" s="76"/>
      <c r="X73" t="s">
        <v>238</v>
      </c>
      <c r="Y73" s="100" t="s">
        <v>871</v>
      </c>
      <c r="Z73" s="64"/>
      <c r="AA73" s="64"/>
      <c r="AB73" s="64"/>
      <c r="AC73" s="129" t="e">
        <f>INDEX(FAC_DES,MATCH(AD73,FAC_COST,0))</f>
        <v>#NUM!</v>
      </c>
      <c r="AD73" s="126" t="e" cm="1">
        <f t="array" ref="AD73:AD77">LARGE(FAC_COST,{1;2;3;4;5})</f>
        <v>#NUM!</v>
      </c>
      <c r="AE73" s="64"/>
      <c r="AF73" s="64"/>
      <c r="AG73" s="64"/>
      <c r="AH73" s="64"/>
    </row>
    <row r="74" spans="1:34">
      <c r="A74" s="292" t="s">
        <v>855</v>
      </c>
      <c r="B74" s="293"/>
      <c r="C74" s="61"/>
      <c r="D74" s="61"/>
      <c r="E74" s="61"/>
      <c r="F74" s="61"/>
      <c r="G74" s="61"/>
      <c r="H74" s="61"/>
      <c r="I74" s="76"/>
      <c r="L74" s="60"/>
      <c r="M74" s="60"/>
      <c r="N74" s="60"/>
      <c r="O74" s="60"/>
      <c r="P74" s="60"/>
      <c r="Q74" s="60"/>
      <c r="R74" s="60"/>
      <c r="S74" s="60"/>
      <c r="T74" s="60"/>
      <c r="U74" s="60"/>
      <c r="V74" s="60"/>
      <c r="W74" s="76"/>
      <c r="X74" s="93" t="s">
        <v>873</v>
      </c>
      <c r="Y74" s="94"/>
      <c r="Z74" s="64"/>
      <c r="AA74" s="64"/>
      <c r="AB74" s="64"/>
      <c r="AC74" s="129" t="e">
        <f>INDEX(FAC_DES,MATCH(AD74,FAC_COST,0))</f>
        <v>#NUM!</v>
      </c>
      <c r="AD74" s="126" t="e">
        <v>#NUM!</v>
      </c>
      <c r="AE74" s="64"/>
      <c r="AF74" s="64"/>
      <c r="AG74" s="64"/>
      <c r="AH74" s="64"/>
    </row>
    <row r="75" spans="1:34">
      <c r="A75" s="292" t="s">
        <v>860</v>
      </c>
      <c r="B75" s="293">
        <v>302488</v>
      </c>
      <c r="C75" s="61"/>
      <c r="D75" s="61"/>
      <c r="E75" s="61"/>
      <c r="F75" s="61"/>
      <c r="G75" s="61"/>
      <c r="H75" s="61"/>
      <c r="I75" s="76"/>
      <c r="L75" s="60"/>
      <c r="M75" s="60"/>
      <c r="N75" s="60"/>
      <c r="O75" s="60"/>
      <c r="P75" s="60"/>
      <c r="Q75" s="60"/>
      <c r="R75" s="60"/>
      <c r="S75" s="60"/>
      <c r="T75" s="60"/>
      <c r="U75" s="60"/>
      <c r="V75" s="60"/>
      <c r="W75" s="76"/>
      <c r="X75" s="93" t="s">
        <v>872</v>
      </c>
      <c r="Y75" s="94"/>
      <c r="Z75" s="64"/>
      <c r="AA75" s="64"/>
      <c r="AB75" s="64"/>
      <c r="AC75" s="129" t="e">
        <f>INDEX(FAC_DES,MATCH(AD75,FAC_COST,0))</f>
        <v>#NUM!</v>
      </c>
      <c r="AD75" s="126" t="e">
        <v>#NUM!</v>
      </c>
      <c r="AE75" s="64"/>
      <c r="AF75" s="64"/>
      <c r="AG75" s="64"/>
      <c r="AH75" s="64"/>
    </row>
    <row r="76" spans="1:34">
      <c r="A76" s="292" t="s">
        <v>854</v>
      </c>
      <c r="B76" s="293">
        <v>54360</v>
      </c>
      <c r="C76" s="61"/>
      <c r="D76" s="61"/>
      <c r="E76" s="61"/>
      <c r="F76" s="61"/>
      <c r="G76" s="61"/>
      <c r="H76" s="61"/>
      <c r="I76" s="76"/>
      <c r="L76" s="60"/>
      <c r="M76" s="60"/>
      <c r="N76" s="60"/>
      <c r="O76" s="60"/>
      <c r="P76" s="60"/>
      <c r="Q76" s="60"/>
      <c r="R76" s="60"/>
      <c r="S76" s="60"/>
      <c r="T76" s="60"/>
      <c r="U76" s="60"/>
      <c r="V76" s="60"/>
      <c r="W76" s="76"/>
      <c r="Z76" s="64"/>
      <c r="AA76" s="64"/>
      <c r="AB76" s="64"/>
      <c r="AC76" s="129" t="e">
        <f>INDEX(FAC_DES,MATCH(AD76,FAC_COST,0))</f>
        <v>#NUM!</v>
      </c>
      <c r="AD76" s="126" t="e">
        <v>#NUM!</v>
      </c>
      <c r="AE76" s="64"/>
      <c r="AF76" s="64"/>
      <c r="AG76" s="64"/>
      <c r="AH76" s="64"/>
    </row>
    <row r="77" spans="1:34">
      <c r="A77" s="292" t="s">
        <v>853</v>
      </c>
      <c r="B77" s="293"/>
      <c r="C77" s="61"/>
      <c r="D77" s="61"/>
      <c r="E77" s="61"/>
      <c r="F77" s="61"/>
      <c r="G77" s="61"/>
      <c r="H77" s="61"/>
      <c r="I77" s="76"/>
      <c r="L77" s="60"/>
      <c r="M77" s="60"/>
      <c r="N77" s="60"/>
      <c r="O77" s="60"/>
      <c r="P77" s="60"/>
      <c r="Q77" s="60"/>
      <c r="R77" s="60"/>
      <c r="S77" s="60"/>
      <c r="T77" s="60"/>
      <c r="U77" s="60"/>
      <c r="V77" s="60"/>
      <c r="W77" s="76"/>
      <c r="Z77" s="64"/>
      <c r="AA77" s="64"/>
      <c r="AB77" s="64"/>
      <c r="AC77" s="129" t="e">
        <f>INDEX(FAC_DES,MATCH(AD77,FAC_COST,0))</f>
        <v>#NUM!</v>
      </c>
      <c r="AD77" s="126" t="e">
        <v>#NUM!</v>
      </c>
      <c r="AE77" s="64"/>
      <c r="AF77" s="64"/>
      <c r="AG77" s="64"/>
      <c r="AH77" s="64"/>
    </row>
    <row r="78" spans="1:34">
      <c r="A78" s="292" t="s">
        <v>856</v>
      </c>
      <c r="B78" s="293">
        <v>98122</v>
      </c>
      <c r="C78" s="61"/>
      <c r="D78" s="61"/>
      <c r="E78" s="61"/>
      <c r="F78" s="61"/>
      <c r="G78" s="61"/>
      <c r="H78" s="61"/>
      <c r="I78" s="76"/>
      <c r="L78" s="60"/>
      <c r="M78" s="60"/>
      <c r="N78" s="60"/>
      <c r="O78" s="60"/>
      <c r="P78" s="60"/>
      <c r="Q78" s="60"/>
      <c r="R78" s="60"/>
      <c r="S78" s="60"/>
      <c r="T78" s="60"/>
      <c r="U78" s="60"/>
      <c r="V78" s="60"/>
      <c r="W78" s="76"/>
      <c r="Z78" s="64"/>
      <c r="AA78" s="64"/>
      <c r="AB78" s="64"/>
      <c r="AC78" s="64"/>
      <c r="AD78" s="64"/>
      <c r="AE78" s="64"/>
      <c r="AF78" s="64"/>
      <c r="AG78" s="64"/>
      <c r="AH78" s="64"/>
    </row>
    <row r="79" spans="1:34">
      <c r="A79" s="292"/>
      <c r="B79" s="293"/>
      <c r="C79" s="61"/>
      <c r="D79" s="61"/>
      <c r="E79" s="61"/>
      <c r="F79" s="61"/>
      <c r="G79" s="61"/>
      <c r="H79" s="61"/>
      <c r="I79" s="76"/>
      <c r="L79" s="60"/>
      <c r="M79" s="60"/>
      <c r="N79" s="60"/>
      <c r="O79" s="60"/>
      <c r="P79" s="60"/>
      <c r="Q79" s="60"/>
      <c r="R79" s="60"/>
      <c r="S79" s="60"/>
      <c r="T79" s="60"/>
      <c r="U79" s="60"/>
      <c r="V79" s="60"/>
      <c r="W79" s="76"/>
      <c r="Z79" s="64"/>
      <c r="AA79" s="64"/>
      <c r="AB79" s="64"/>
      <c r="AC79" s="64"/>
      <c r="AD79" s="64"/>
      <c r="AE79" s="64"/>
      <c r="AF79" s="64"/>
      <c r="AG79" s="64"/>
      <c r="AH79" s="64"/>
    </row>
    <row r="80" spans="1:34">
      <c r="A80" s="292" t="s">
        <v>872</v>
      </c>
      <c r="B80" s="293">
        <v>1686262.9</v>
      </c>
      <c r="C80" s="61"/>
      <c r="D80" s="61"/>
      <c r="E80" s="61"/>
      <c r="F80" s="61"/>
      <c r="G80" s="61"/>
      <c r="H80" s="61"/>
      <c r="I80" s="76"/>
      <c r="L80" s="60"/>
      <c r="M80" s="60"/>
      <c r="N80" s="60"/>
      <c r="O80" s="60"/>
      <c r="P80" s="60"/>
      <c r="Q80" s="60"/>
      <c r="R80" s="60"/>
      <c r="S80" s="60"/>
      <c r="T80" s="60"/>
      <c r="U80" s="60"/>
      <c r="V80" s="60"/>
      <c r="W80" s="76"/>
      <c r="Z80" s="64"/>
      <c r="AA80" s="64"/>
      <c r="AB80" s="64"/>
      <c r="AC80" s="64"/>
      <c r="AD80" s="64"/>
      <c r="AE80" s="64"/>
      <c r="AF80" s="64"/>
      <c r="AG80" s="64"/>
      <c r="AH80" s="64"/>
    </row>
    <row r="81" spans="1:34">
      <c r="C81" s="61"/>
      <c r="D81" s="61"/>
      <c r="E81" s="61"/>
      <c r="F81" s="61"/>
      <c r="G81" s="61"/>
      <c r="H81" s="61"/>
      <c r="I81" s="76"/>
      <c r="L81" s="60"/>
      <c r="M81" s="60"/>
      <c r="N81" s="60"/>
      <c r="O81" s="60"/>
      <c r="P81" s="60"/>
      <c r="Q81" s="60"/>
      <c r="R81" s="60"/>
      <c r="S81" s="60"/>
      <c r="T81" s="60"/>
      <c r="U81" s="60"/>
      <c r="V81" s="60"/>
      <c r="W81" s="76"/>
      <c r="Z81" s="64"/>
      <c r="AA81" s="64"/>
      <c r="AB81" s="64"/>
      <c r="AC81" s="64"/>
      <c r="AD81" s="64"/>
      <c r="AE81" s="64"/>
      <c r="AF81" s="64"/>
      <c r="AG81" s="64"/>
      <c r="AH81" s="64"/>
    </row>
    <row r="82" spans="1:34">
      <c r="C82" s="61"/>
      <c r="D82" s="61"/>
      <c r="E82" s="61"/>
      <c r="F82" s="61"/>
      <c r="G82" s="61"/>
      <c r="H82" s="61"/>
      <c r="I82" s="76"/>
      <c r="L82" s="60"/>
      <c r="M82" s="60"/>
      <c r="N82" s="60"/>
      <c r="O82" s="60"/>
      <c r="P82" s="60"/>
      <c r="Q82" s="60"/>
      <c r="R82" s="60"/>
      <c r="S82" s="60"/>
      <c r="T82" s="60"/>
      <c r="U82" s="60"/>
      <c r="V82" s="60"/>
      <c r="W82" s="76"/>
      <c r="Z82" s="64"/>
      <c r="AA82" s="64"/>
      <c r="AB82" s="64"/>
      <c r="AC82" s="64"/>
      <c r="AD82" s="64"/>
      <c r="AE82" s="64"/>
      <c r="AF82" s="64"/>
      <c r="AG82" s="64"/>
      <c r="AH82" s="64"/>
    </row>
    <row r="83" spans="1:34">
      <c r="C83" s="61"/>
      <c r="D83" s="61"/>
      <c r="E83" s="61"/>
      <c r="F83" s="61"/>
      <c r="G83" s="61"/>
      <c r="H83" s="61"/>
      <c r="I83" s="76"/>
      <c r="L83" s="60"/>
      <c r="M83" s="60"/>
      <c r="N83" s="60"/>
      <c r="O83" s="60"/>
      <c r="P83" s="60"/>
      <c r="Q83" s="60"/>
      <c r="R83" s="60"/>
      <c r="S83" s="60"/>
      <c r="T83" s="60"/>
      <c r="U83" s="60"/>
      <c r="V83" s="60"/>
      <c r="W83" s="76"/>
      <c r="Z83" s="64"/>
      <c r="AA83" s="64"/>
      <c r="AB83" s="64"/>
      <c r="AC83" s="64"/>
      <c r="AD83" s="64"/>
      <c r="AE83" s="64"/>
      <c r="AF83" s="64"/>
      <c r="AG83" s="64"/>
      <c r="AH83" s="64"/>
    </row>
    <row r="84" spans="1:34">
      <c r="C84" s="61"/>
      <c r="D84" s="61"/>
      <c r="E84" s="61"/>
      <c r="F84" s="61"/>
      <c r="G84" s="61"/>
      <c r="H84" s="61"/>
      <c r="I84" s="76"/>
      <c r="L84" s="60"/>
      <c r="M84" s="60"/>
      <c r="N84" s="60"/>
      <c r="O84" s="60"/>
      <c r="P84" s="60"/>
      <c r="Q84" s="60"/>
      <c r="R84" s="60"/>
      <c r="S84" s="60"/>
      <c r="T84" s="60"/>
      <c r="U84" s="60"/>
      <c r="V84" s="60"/>
      <c r="W84" s="76"/>
      <c r="Z84" s="64"/>
      <c r="AA84" s="64"/>
      <c r="AB84" s="64"/>
      <c r="AC84" s="64"/>
      <c r="AD84" s="64"/>
      <c r="AE84" s="64"/>
      <c r="AF84" s="64"/>
      <c r="AG84" s="64"/>
      <c r="AH84" s="64"/>
    </row>
    <row r="85" spans="1:34">
      <c r="C85" s="61"/>
      <c r="D85" s="61"/>
      <c r="E85" s="61"/>
      <c r="F85" s="61"/>
      <c r="G85" s="61"/>
      <c r="H85" s="61"/>
      <c r="I85" s="76"/>
      <c r="L85" s="60"/>
      <c r="M85" s="60"/>
      <c r="N85" s="60"/>
      <c r="O85" s="60"/>
      <c r="P85" s="60"/>
      <c r="Q85" s="60"/>
      <c r="R85" s="60"/>
      <c r="S85" s="60"/>
      <c r="T85" s="60"/>
      <c r="U85" s="60"/>
      <c r="V85" s="60"/>
      <c r="W85" s="76"/>
      <c r="Z85" s="64"/>
      <c r="AA85" s="64"/>
      <c r="AB85" s="64"/>
      <c r="AC85" s="64"/>
      <c r="AD85" s="64"/>
      <c r="AE85" s="64"/>
      <c r="AF85" s="64"/>
      <c r="AG85" s="64"/>
      <c r="AH85" s="64"/>
    </row>
    <row r="86" spans="1:34">
      <c r="C86" s="61"/>
      <c r="D86" s="311" t="s">
        <v>895</v>
      </c>
      <c r="E86" s="311"/>
      <c r="F86" s="61"/>
      <c r="G86" s="61"/>
      <c r="H86" s="61"/>
      <c r="I86" s="76"/>
      <c r="L86" s="60"/>
      <c r="M86" s="60"/>
      <c r="N86" s="60"/>
      <c r="O86" s="311" t="s">
        <v>896</v>
      </c>
      <c r="P86" s="311"/>
      <c r="Q86" s="60"/>
      <c r="R86" s="60"/>
      <c r="S86" s="60"/>
      <c r="T86" s="60"/>
      <c r="U86" s="60"/>
      <c r="V86" s="60"/>
      <c r="W86" s="76"/>
      <c r="Z86" s="64"/>
      <c r="AA86" s="64"/>
      <c r="AB86" s="64"/>
      <c r="AC86" s="64"/>
      <c r="AD86" s="64"/>
      <c r="AE86" s="64"/>
      <c r="AF86" s="311" t="s">
        <v>657</v>
      </c>
      <c r="AG86" s="311"/>
      <c r="AH86" s="64"/>
    </row>
    <row r="87" spans="1:34">
      <c r="C87" s="61"/>
      <c r="D87" s="61"/>
      <c r="E87" s="61"/>
      <c r="F87" s="61"/>
      <c r="G87" s="61"/>
      <c r="H87" s="61"/>
      <c r="I87" s="76"/>
      <c r="L87" s="60"/>
      <c r="M87" s="60"/>
      <c r="N87" s="60"/>
      <c r="O87" s="60"/>
      <c r="P87" s="60"/>
      <c r="Q87" s="60"/>
      <c r="R87" s="60"/>
      <c r="S87" s="60"/>
      <c r="T87" s="60"/>
      <c r="U87" s="60"/>
      <c r="V87" s="60"/>
      <c r="W87" s="76"/>
      <c r="Z87" s="64"/>
      <c r="AA87" s="64"/>
      <c r="AB87" s="64"/>
      <c r="AC87" s="64"/>
      <c r="AD87" s="64"/>
      <c r="AE87" s="64"/>
      <c r="AF87" s="64"/>
      <c r="AG87" s="64"/>
      <c r="AH87" s="64"/>
    </row>
    <row r="88" spans="1:34">
      <c r="A88" s="61"/>
      <c r="B88" s="61"/>
      <c r="C88" s="61"/>
      <c r="D88" s="65" t="s">
        <v>897</v>
      </c>
      <c r="E88" s="67">
        <f>COUNTIF(Equipment[NOTIFICATION STATUS], "Closed")</f>
        <v>29</v>
      </c>
      <c r="F88" s="61"/>
      <c r="G88" s="61"/>
      <c r="H88" s="61"/>
      <c r="I88" s="76"/>
      <c r="L88" s="60"/>
      <c r="M88" s="60"/>
      <c r="N88" s="60"/>
      <c r="O88" s="65" t="s">
        <v>897</v>
      </c>
      <c r="P88" s="67">
        <f>COUNTIF(Vehicle[NOTIFICATION STATUS], "Closed")</f>
        <v>82</v>
      </c>
      <c r="Q88" s="60"/>
      <c r="R88" s="60"/>
      <c r="S88" s="60"/>
      <c r="T88" s="60"/>
      <c r="U88" s="60"/>
      <c r="V88" s="60"/>
      <c r="W88" s="76"/>
      <c r="X88" s="64"/>
      <c r="Y88" s="64"/>
      <c r="Z88" s="64"/>
      <c r="AA88" s="64"/>
      <c r="AB88" s="64"/>
      <c r="AC88" s="64"/>
      <c r="AD88" s="64"/>
      <c r="AE88" s="64"/>
      <c r="AF88" s="65" t="s">
        <v>897</v>
      </c>
      <c r="AG88" s="67">
        <f>COUNTIF(Facility[NOTIFICATION STATUS], "Closed")</f>
        <v>84</v>
      </c>
      <c r="AH88" s="64"/>
    </row>
    <row r="89" spans="1:34">
      <c r="A89" s="61"/>
      <c r="B89" s="61"/>
      <c r="C89" s="61"/>
      <c r="D89" s="61"/>
      <c r="E89" s="61"/>
      <c r="F89" s="61"/>
      <c r="G89" s="61"/>
      <c r="H89" s="61"/>
      <c r="I89" s="76"/>
      <c r="L89" s="60"/>
      <c r="M89" s="60"/>
      <c r="N89" s="60"/>
      <c r="O89" s="60"/>
      <c r="P89" s="60"/>
      <c r="Q89" s="60"/>
      <c r="R89" s="60"/>
      <c r="S89" s="60"/>
      <c r="T89" s="60"/>
      <c r="U89" s="60"/>
      <c r="V89" s="60"/>
      <c r="W89" s="76"/>
      <c r="X89" s="64"/>
      <c r="Y89" s="64"/>
      <c r="Z89" s="64"/>
      <c r="AA89" s="64"/>
      <c r="AB89" s="64"/>
      <c r="AC89" s="64"/>
      <c r="AD89" s="64"/>
      <c r="AE89" s="64"/>
      <c r="AF89" s="64"/>
      <c r="AG89" s="64"/>
      <c r="AH89" s="64"/>
    </row>
    <row r="90" spans="1:34">
      <c r="A90" s="61"/>
      <c r="B90" s="61"/>
      <c r="C90" s="61"/>
      <c r="D90" s="66" t="s">
        <v>898</v>
      </c>
      <c r="E90" s="67">
        <f>COUNTIF(Equipment[NOTIFICATION STATUS], "Open")</f>
        <v>1</v>
      </c>
      <c r="F90" s="61"/>
      <c r="G90" s="61"/>
      <c r="H90" s="61"/>
      <c r="I90" s="76"/>
      <c r="L90" s="60"/>
      <c r="M90" s="60"/>
      <c r="N90" s="60"/>
      <c r="O90" s="66" t="s">
        <v>898</v>
      </c>
      <c r="P90" s="67">
        <f>COUNTIF(Vehicle[NOTIFICATION STATUS], "Open")</f>
        <v>5</v>
      </c>
      <c r="Q90" s="60"/>
      <c r="R90" s="60"/>
      <c r="S90" s="60"/>
      <c r="T90" s="60"/>
      <c r="U90" s="60"/>
      <c r="V90" s="60"/>
      <c r="W90" s="76"/>
      <c r="X90" s="64"/>
      <c r="Y90" s="64"/>
      <c r="Z90" s="64"/>
      <c r="AA90" s="64"/>
      <c r="AB90" s="64"/>
      <c r="AC90" s="64"/>
      <c r="AD90" s="64"/>
      <c r="AE90" s="64"/>
      <c r="AF90" s="66" t="s">
        <v>898</v>
      </c>
      <c r="AG90" s="67">
        <f>COUNTIF(Facility[NOTIFICATION STATUS], "Open")</f>
        <v>24</v>
      </c>
      <c r="AH90" s="64"/>
    </row>
    <row r="91" spans="1:34">
      <c r="A91" s="61"/>
      <c r="B91" s="61"/>
      <c r="C91" s="61"/>
      <c r="D91" s="61"/>
      <c r="E91" s="61"/>
      <c r="F91" s="61"/>
      <c r="G91" s="61"/>
      <c r="H91" s="61"/>
      <c r="I91" s="76"/>
      <c r="L91" s="60"/>
      <c r="M91" s="60"/>
      <c r="N91" s="60"/>
      <c r="O91" s="60"/>
      <c r="P91" s="60"/>
      <c r="Q91" s="60"/>
      <c r="R91" s="60"/>
      <c r="S91" s="60"/>
      <c r="T91" s="60"/>
      <c r="U91" s="60"/>
      <c r="V91" s="60"/>
      <c r="W91" s="76"/>
      <c r="X91" s="64"/>
      <c r="Y91" s="64"/>
      <c r="Z91" s="64"/>
      <c r="AA91" s="64"/>
      <c r="AB91" s="64"/>
      <c r="AC91" s="64"/>
      <c r="AD91" s="64"/>
      <c r="AE91" s="64"/>
      <c r="AF91" s="64"/>
      <c r="AG91" s="64"/>
      <c r="AH91" s="64"/>
    </row>
    <row r="92" spans="1:34">
      <c r="A92" s="61"/>
      <c r="B92" s="61"/>
      <c r="C92" s="61"/>
      <c r="D92" s="61"/>
      <c r="E92" s="61"/>
      <c r="F92" s="61"/>
      <c r="G92" s="61"/>
      <c r="H92" s="61"/>
      <c r="I92" s="76"/>
      <c r="L92" s="60"/>
      <c r="M92" s="60"/>
      <c r="N92" s="60"/>
      <c r="O92" s="60"/>
      <c r="P92" s="60"/>
      <c r="Q92" s="60"/>
      <c r="R92" s="60"/>
      <c r="S92" s="60"/>
      <c r="T92" s="60"/>
      <c r="U92" s="60"/>
      <c r="V92" s="60"/>
      <c r="W92" s="76"/>
      <c r="X92" s="64"/>
      <c r="Y92" s="64"/>
      <c r="Z92" s="64"/>
      <c r="AA92" s="64"/>
      <c r="AB92" s="64"/>
      <c r="AC92" s="64"/>
      <c r="AD92" s="64"/>
      <c r="AE92" s="64"/>
      <c r="AF92" s="64"/>
      <c r="AG92" s="64"/>
      <c r="AH92" s="64"/>
    </row>
    <row r="93" spans="1:34">
      <c r="A93" s="61"/>
      <c r="B93" s="61"/>
      <c r="C93" s="61"/>
      <c r="D93" s="61"/>
      <c r="E93" s="61"/>
      <c r="F93" s="61"/>
      <c r="G93" s="61"/>
      <c r="H93" s="61"/>
      <c r="I93" s="76"/>
      <c r="L93" s="60"/>
      <c r="M93" s="60"/>
      <c r="N93" s="60"/>
      <c r="O93" s="60"/>
      <c r="P93" s="60"/>
      <c r="Q93" s="60"/>
      <c r="R93" s="60"/>
      <c r="S93" s="60"/>
      <c r="T93" s="60"/>
      <c r="U93" s="60"/>
      <c r="V93" s="60"/>
      <c r="W93" s="76"/>
      <c r="X93" s="64"/>
      <c r="Y93" s="64"/>
      <c r="Z93" s="64"/>
      <c r="AA93" s="64"/>
      <c r="AB93" s="64"/>
      <c r="AC93" s="64"/>
      <c r="AD93" s="64"/>
      <c r="AE93" s="64"/>
      <c r="AF93" s="64"/>
      <c r="AG93" s="64"/>
      <c r="AH93" s="64"/>
    </row>
    <row r="94" spans="1:34">
      <c r="A94" s="61"/>
      <c r="B94" s="61"/>
      <c r="C94" s="61"/>
      <c r="D94" s="61"/>
      <c r="E94" s="61"/>
      <c r="F94" s="61"/>
      <c r="G94" s="61"/>
      <c r="H94" s="61"/>
      <c r="I94" s="76"/>
      <c r="L94" s="60"/>
      <c r="M94" s="60"/>
      <c r="N94" s="60"/>
      <c r="O94" s="60"/>
      <c r="P94" s="60"/>
      <c r="Q94" s="60"/>
      <c r="R94" s="60"/>
      <c r="S94" s="60"/>
      <c r="T94" s="60"/>
      <c r="U94" s="60"/>
      <c r="V94" s="60"/>
      <c r="W94" s="76"/>
      <c r="X94" s="64"/>
      <c r="Y94" s="64"/>
      <c r="Z94" s="64"/>
      <c r="AA94" s="64"/>
      <c r="AB94" s="64"/>
      <c r="AC94" s="64"/>
      <c r="AD94" s="64"/>
      <c r="AE94" s="64"/>
      <c r="AF94" s="64"/>
      <c r="AG94" s="64"/>
      <c r="AH94" s="64"/>
    </row>
    <row r="95" spans="1:34">
      <c r="A95" s="61"/>
      <c r="B95" s="61"/>
      <c r="C95" s="61"/>
      <c r="D95" s="61"/>
      <c r="E95" s="61"/>
      <c r="F95" s="61"/>
      <c r="G95" s="61"/>
      <c r="H95" s="61"/>
      <c r="I95" s="76"/>
      <c r="L95" s="60"/>
      <c r="M95" s="60"/>
      <c r="N95" s="60"/>
      <c r="O95" s="60"/>
      <c r="P95" s="60"/>
      <c r="Q95" s="60"/>
      <c r="R95" s="60"/>
      <c r="S95" s="60"/>
      <c r="T95" s="60"/>
      <c r="U95" s="60"/>
      <c r="V95" s="60"/>
      <c r="W95" s="76"/>
      <c r="X95" s="64"/>
      <c r="Y95" s="64"/>
      <c r="Z95" s="64"/>
      <c r="AA95" s="64"/>
      <c r="AB95" s="64"/>
      <c r="AC95" s="64"/>
      <c r="AD95" s="64"/>
      <c r="AE95" s="64"/>
      <c r="AF95" s="64"/>
      <c r="AG95" s="64"/>
      <c r="AH95" s="64"/>
    </row>
    <row r="96" spans="1:34">
      <c r="A96" s="61"/>
      <c r="B96" s="61"/>
      <c r="C96" s="76"/>
      <c r="D96" s="73" t="s">
        <v>899</v>
      </c>
      <c r="E96" s="73"/>
      <c r="F96" s="61"/>
      <c r="G96" s="61"/>
      <c r="H96" s="61"/>
      <c r="I96" s="76"/>
      <c r="L96" s="60"/>
      <c r="M96" s="60"/>
      <c r="N96" s="60"/>
      <c r="O96" s="60"/>
      <c r="P96" s="60"/>
      <c r="Q96" s="60"/>
      <c r="R96" s="60"/>
      <c r="S96" s="60"/>
      <c r="T96" s="60"/>
      <c r="U96" s="60"/>
      <c r="V96" s="60"/>
      <c r="W96" s="76"/>
      <c r="X96" s="64"/>
      <c r="Y96" s="64"/>
      <c r="Z96" s="64"/>
      <c r="AA96" s="64"/>
      <c r="AB96" s="64"/>
      <c r="AC96" s="64"/>
      <c r="AD96" s="64"/>
      <c r="AE96" s="64"/>
      <c r="AF96" s="64"/>
      <c r="AG96" s="64"/>
      <c r="AH96" s="64"/>
    </row>
    <row r="97" spans="1:34">
      <c r="A97" s="61"/>
      <c r="B97" s="61"/>
      <c r="C97" s="61"/>
      <c r="D97" s="61"/>
      <c r="E97" s="61"/>
      <c r="F97" s="61"/>
      <c r="G97" s="61"/>
      <c r="H97" s="61"/>
      <c r="I97" s="76"/>
      <c r="L97" s="60"/>
      <c r="M97" s="60"/>
      <c r="N97" s="60"/>
      <c r="O97" s="60"/>
      <c r="P97" s="60"/>
      <c r="Q97" s="60"/>
      <c r="R97" s="60"/>
      <c r="S97" s="60"/>
      <c r="T97" s="60"/>
      <c r="U97" s="60"/>
      <c r="V97" s="60"/>
      <c r="W97" s="76"/>
      <c r="X97" s="64"/>
      <c r="Y97" s="64"/>
      <c r="Z97" s="64"/>
      <c r="AA97" s="64"/>
      <c r="AB97" s="64"/>
      <c r="AC97" s="64"/>
      <c r="AD97" s="64"/>
      <c r="AE97" s="64"/>
      <c r="AF97" s="64"/>
      <c r="AG97" s="64"/>
      <c r="AH97" s="64"/>
    </row>
    <row r="98" spans="1:34">
      <c r="A98" s="61"/>
      <c r="B98" s="139" t="s">
        <v>900</v>
      </c>
      <c r="C98" s="140" t="s">
        <v>640</v>
      </c>
      <c r="D98" s="140" t="s">
        <v>901</v>
      </c>
      <c r="E98" s="141" t="s">
        <v>320</v>
      </c>
      <c r="F98" s="61"/>
      <c r="G98" s="61"/>
      <c r="H98" s="61"/>
      <c r="I98" s="76"/>
      <c r="L98" s="60"/>
      <c r="M98" s="60"/>
      <c r="N98" s="60"/>
      <c r="O98" s="60"/>
      <c r="P98" s="60"/>
      <c r="Q98" s="60"/>
      <c r="R98" s="60"/>
      <c r="S98" s="60"/>
      <c r="T98" s="60"/>
      <c r="U98" s="60"/>
      <c r="V98" s="60"/>
      <c r="W98" s="76"/>
      <c r="X98" s="64"/>
      <c r="Y98" s="64"/>
      <c r="Z98" s="64"/>
      <c r="AA98" s="64"/>
      <c r="AB98" s="64"/>
      <c r="AC98" s="64"/>
      <c r="AD98" s="64"/>
      <c r="AE98" s="64"/>
      <c r="AF98" s="64"/>
      <c r="AG98" s="64"/>
      <c r="AH98" s="64"/>
    </row>
    <row r="99" spans="1:34">
      <c r="A99" s="61"/>
      <c r="B99" s="137" t="s">
        <v>24</v>
      </c>
      <c r="C99" s="80">
        <f t="shared" ref="C99:C107" si="6">GETPIVOTDATA("SPARES COST",$A$49,"MONTH",$B99)</f>
        <v>1300707</v>
      </c>
      <c r="D99" s="81" t="e">
        <f t="shared" ref="D99:D107" si="7">GETPIVOTDATA("SPARES COST (NGN)",$J$27,"MONTH",$B99)</f>
        <v>#REF!</v>
      </c>
      <c r="E99" s="138" t="e">
        <f t="shared" ref="E99:E107" si="8">GETPIVOTDATA("SPARES COST (NGN)",$X$50,"MONTH",$B99)</f>
        <v>#REF!</v>
      </c>
      <c r="F99" s="61"/>
      <c r="G99" s="61"/>
      <c r="H99" s="61"/>
      <c r="I99" s="76"/>
      <c r="L99" s="60"/>
      <c r="M99" s="60"/>
      <c r="N99" s="60"/>
      <c r="O99" s="60"/>
      <c r="P99" s="60"/>
      <c r="Q99" s="60"/>
      <c r="R99" s="60"/>
      <c r="S99" s="60"/>
      <c r="T99" s="60"/>
      <c r="U99" s="60"/>
      <c r="V99" s="60"/>
      <c r="W99" s="76"/>
      <c r="X99" s="64"/>
      <c r="Y99" s="64"/>
      <c r="Z99" s="64"/>
      <c r="AA99" s="64"/>
      <c r="AB99" s="64"/>
      <c r="AC99" s="64"/>
      <c r="AD99" s="64"/>
      <c r="AE99" s="64"/>
      <c r="AF99" s="64"/>
      <c r="AG99" s="64"/>
      <c r="AH99" s="64"/>
    </row>
    <row r="100" spans="1:34">
      <c r="A100" s="61"/>
      <c r="B100" s="137" t="s">
        <v>107</v>
      </c>
      <c r="C100" s="80">
        <f t="shared" si="6"/>
        <v>206555.9</v>
      </c>
      <c r="D100" s="81" t="e">
        <f t="shared" si="7"/>
        <v>#REF!</v>
      </c>
      <c r="E100" s="138" t="e">
        <f t="shared" si="8"/>
        <v>#REF!</v>
      </c>
      <c r="F100" s="61"/>
      <c r="G100" s="61"/>
      <c r="H100" s="61"/>
      <c r="I100" s="76"/>
      <c r="J100" s="60"/>
      <c r="K100" s="60"/>
      <c r="L100" s="60"/>
      <c r="M100" s="60"/>
      <c r="N100" s="60"/>
      <c r="O100" s="60"/>
      <c r="P100" s="60"/>
      <c r="Q100" s="60"/>
      <c r="R100" s="60"/>
      <c r="S100" s="60"/>
      <c r="T100" s="60"/>
      <c r="U100" s="60"/>
      <c r="V100" s="60"/>
      <c r="W100" s="76"/>
      <c r="X100" s="64"/>
      <c r="Y100" s="64"/>
      <c r="Z100" s="64"/>
      <c r="AA100" s="64"/>
      <c r="AB100" s="64"/>
      <c r="AC100" s="64"/>
      <c r="AD100" s="64"/>
      <c r="AE100" s="64"/>
      <c r="AF100" s="64"/>
      <c r="AG100" s="64"/>
      <c r="AH100" s="64"/>
    </row>
    <row r="101" spans="1:34">
      <c r="A101" s="61"/>
      <c r="B101" s="137" t="s">
        <v>164</v>
      </c>
      <c r="C101" s="80">
        <f t="shared" si="6"/>
        <v>162000</v>
      </c>
      <c r="D101" s="81" t="e">
        <f t="shared" si="7"/>
        <v>#REF!</v>
      </c>
      <c r="E101" s="138" t="e">
        <f t="shared" si="8"/>
        <v>#REF!</v>
      </c>
      <c r="F101" s="61"/>
      <c r="G101" s="61"/>
      <c r="H101" s="61"/>
      <c r="I101" s="76"/>
      <c r="J101" s="60"/>
      <c r="K101" s="60"/>
      <c r="L101" s="60"/>
      <c r="M101" s="60"/>
      <c r="N101" s="60"/>
      <c r="O101" s="60"/>
      <c r="P101" s="60"/>
      <c r="Q101" s="60"/>
      <c r="R101" s="60"/>
      <c r="S101" s="60"/>
      <c r="T101" s="60"/>
      <c r="U101" s="60"/>
      <c r="V101" s="60"/>
      <c r="W101" s="76"/>
      <c r="X101" s="64"/>
      <c r="Y101" s="64"/>
      <c r="Z101" s="64"/>
      <c r="AA101" s="64"/>
      <c r="AB101" s="64"/>
      <c r="AC101" s="64"/>
      <c r="AD101" s="64"/>
      <c r="AE101" s="64"/>
      <c r="AF101" s="64"/>
      <c r="AG101" s="64"/>
      <c r="AH101" s="64"/>
    </row>
    <row r="102" spans="1:34">
      <c r="A102" s="61"/>
      <c r="B102" s="137" t="s">
        <v>182</v>
      </c>
      <c r="C102" s="80">
        <f t="shared" si="6"/>
        <v>0</v>
      </c>
      <c r="D102" s="81" t="e">
        <f t="shared" si="7"/>
        <v>#REF!</v>
      </c>
      <c r="E102" s="138" t="e">
        <f t="shared" si="8"/>
        <v>#REF!</v>
      </c>
      <c r="F102" s="61"/>
      <c r="G102" s="61"/>
      <c r="H102" s="61"/>
      <c r="I102" s="76"/>
      <c r="J102" s="60"/>
      <c r="K102" s="60"/>
      <c r="L102" s="60"/>
      <c r="M102" s="60"/>
      <c r="N102" s="60"/>
      <c r="O102" s="60"/>
      <c r="P102" s="60"/>
      <c r="Q102" s="60"/>
      <c r="R102" s="60"/>
      <c r="S102" s="60"/>
      <c r="T102" s="60"/>
      <c r="U102" s="60"/>
      <c r="V102" s="60"/>
      <c r="W102" s="76"/>
      <c r="X102" s="64"/>
      <c r="Y102" s="64"/>
      <c r="Z102" s="64"/>
      <c r="AA102" s="64"/>
      <c r="AB102" s="64"/>
      <c r="AC102" s="64"/>
      <c r="AD102" s="64"/>
      <c r="AE102" s="64"/>
      <c r="AF102" s="64"/>
      <c r="AG102" s="64"/>
      <c r="AH102" s="64"/>
    </row>
    <row r="103" spans="1:34">
      <c r="A103" s="61"/>
      <c r="B103" s="137" t="s">
        <v>33</v>
      </c>
      <c r="C103" s="80">
        <f t="shared" si="6"/>
        <v>17000</v>
      </c>
      <c r="D103" s="81" t="e">
        <f t="shared" si="7"/>
        <v>#REF!</v>
      </c>
      <c r="E103" s="138" t="e">
        <f t="shared" si="8"/>
        <v>#REF!</v>
      </c>
      <c r="F103" s="61"/>
      <c r="G103" s="61"/>
      <c r="H103" s="61"/>
      <c r="I103" s="76"/>
      <c r="J103" s="60"/>
      <c r="K103" s="60"/>
      <c r="L103" s="60"/>
      <c r="M103" s="60"/>
      <c r="N103" s="60"/>
      <c r="O103" s="60"/>
      <c r="P103" s="60"/>
      <c r="Q103" s="60"/>
      <c r="R103" s="60"/>
      <c r="S103" s="60"/>
      <c r="T103" s="60"/>
      <c r="U103" s="60"/>
      <c r="V103" s="60"/>
      <c r="W103" s="76"/>
      <c r="X103" s="64"/>
      <c r="Y103" s="64"/>
      <c r="Z103" s="64"/>
      <c r="AA103" s="64"/>
      <c r="AB103" s="64"/>
      <c r="AC103" s="64"/>
      <c r="AD103" s="64"/>
      <c r="AE103" s="64"/>
      <c r="AF103" s="64"/>
      <c r="AG103" s="64"/>
      <c r="AH103" s="64"/>
    </row>
    <row r="104" spans="1:34">
      <c r="A104" s="61"/>
      <c r="B104" s="137" t="s">
        <v>214</v>
      </c>
      <c r="C104" s="80" t="e">
        <f t="shared" si="6"/>
        <v>#REF!</v>
      </c>
      <c r="D104" s="81" t="e">
        <f t="shared" si="7"/>
        <v>#REF!</v>
      </c>
      <c r="E104" s="138" t="e">
        <f t="shared" si="8"/>
        <v>#REF!</v>
      </c>
      <c r="F104" s="61"/>
      <c r="G104" s="61"/>
      <c r="H104" s="61"/>
      <c r="I104" s="76"/>
      <c r="J104" s="60"/>
      <c r="K104" s="60"/>
      <c r="L104" s="60"/>
      <c r="M104" s="60"/>
      <c r="N104" s="60"/>
      <c r="O104" s="60"/>
      <c r="P104" s="60"/>
      <c r="Q104" s="60"/>
      <c r="R104" s="60"/>
      <c r="S104" s="60"/>
      <c r="T104" s="60"/>
      <c r="U104" s="60"/>
      <c r="V104" s="60"/>
      <c r="W104" s="76"/>
      <c r="X104" s="64"/>
      <c r="Y104" s="64"/>
      <c r="Z104" s="64"/>
      <c r="AA104" s="64"/>
      <c r="AB104" s="64"/>
      <c r="AC104" s="64"/>
      <c r="AD104" s="64"/>
      <c r="AE104" s="64"/>
      <c r="AF104" s="64"/>
      <c r="AG104" s="64"/>
      <c r="AH104" s="64"/>
    </row>
    <row r="105" spans="1:34">
      <c r="A105" s="61"/>
      <c r="B105" s="137" t="s">
        <v>231</v>
      </c>
      <c r="C105" s="80" t="e">
        <f t="shared" si="6"/>
        <v>#REF!</v>
      </c>
      <c r="D105" s="81" t="e">
        <f t="shared" si="7"/>
        <v>#REF!</v>
      </c>
      <c r="E105" s="138" t="e">
        <f t="shared" si="8"/>
        <v>#REF!</v>
      </c>
      <c r="F105" s="61"/>
      <c r="G105" s="61"/>
      <c r="H105" s="61"/>
      <c r="I105" s="76"/>
      <c r="J105" s="60"/>
      <c r="K105" s="60"/>
      <c r="L105" s="60"/>
      <c r="M105" s="60"/>
      <c r="N105" s="60"/>
      <c r="O105" s="60"/>
      <c r="P105" s="60"/>
      <c r="Q105" s="60"/>
      <c r="R105" s="60"/>
      <c r="S105" s="60"/>
      <c r="T105" s="60"/>
      <c r="U105" s="60"/>
      <c r="V105" s="60"/>
      <c r="W105" s="76"/>
      <c r="X105" s="64"/>
      <c r="Y105" s="64"/>
      <c r="Z105" s="64"/>
      <c r="AA105" s="64"/>
      <c r="AB105" s="64"/>
      <c r="AC105" s="64"/>
      <c r="AD105" s="64"/>
      <c r="AE105" s="64"/>
      <c r="AF105" s="64"/>
      <c r="AG105" s="64"/>
      <c r="AH105" s="64"/>
    </row>
    <row r="106" spans="1:34">
      <c r="A106" s="61"/>
      <c r="B106" s="137" t="s">
        <v>882</v>
      </c>
      <c r="C106" s="80" t="e">
        <f t="shared" si="6"/>
        <v>#REF!</v>
      </c>
      <c r="D106" s="81" t="e">
        <f t="shared" si="7"/>
        <v>#REF!</v>
      </c>
      <c r="E106" s="138" t="e">
        <f t="shared" si="8"/>
        <v>#REF!</v>
      </c>
      <c r="F106" s="61"/>
      <c r="G106" s="61"/>
      <c r="H106" s="61"/>
      <c r="I106" s="76"/>
      <c r="J106" s="60"/>
      <c r="K106" s="60"/>
      <c r="L106" s="60"/>
      <c r="M106" s="60"/>
      <c r="N106" s="60"/>
      <c r="O106" s="60"/>
      <c r="P106" s="60"/>
      <c r="Q106" s="60"/>
      <c r="R106" s="60"/>
      <c r="S106" s="60"/>
      <c r="T106" s="60"/>
      <c r="U106" s="60"/>
      <c r="V106" s="60"/>
      <c r="W106" s="76"/>
      <c r="X106" s="64"/>
      <c r="Y106" s="64"/>
      <c r="Z106" s="64"/>
      <c r="AA106" s="64"/>
      <c r="AB106" s="64"/>
      <c r="AC106" s="64"/>
      <c r="AD106" s="64"/>
      <c r="AE106" s="64"/>
      <c r="AF106" s="64"/>
      <c r="AG106" s="64"/>
      <c r="AH106" s="64"/>
    </row>
    <row r="107" spans="1:34">
      <c r="A107" s="61"/>
      <c r="B107" s="142" t="s">
        <v>883</v>
      </c>
      <c r="C107" s="143" t="e">
        <f t="shared" si="6"/>
        <v>#REF!</v>
      </c>
      <c r="D107" s="144" t="e">
        <f t="shared" si="7"/>
        <v>#REF!</v>
      </c>
      <c r="E107" s="145" t="e">
        <f t="shared" si="8"/>
        <v>#REF!</v>
      </c>
      <c r="F107" s="61"/>
      <c r="G107" s="61"/>
      <c r="H107" s="61"/>
      <c r="I107" s="76"/>
      <c r="J107" s="60"/>
      <c r="K107" s="60"/>
      <c r="L107" s="60"/>
      <c r="M107" s="60"/>
      <c r="N107" s="60"/>
      <c r="O107" s="60"/>
      <c r="P107" s="60"/>
      <c r="Q107" s="60"/>
      <c r="R107" s="60"/>
      <c r="S107" s="60"/>
      <c r="T107" s="60"/>
      <c r="U107" s="60"/>
      <c r="V107" s="60"/>
      <c r="W107" s="76"/>
      <c r="X107" s="64"/>
      <c r="Y107" s="64"/>
      <c r="Z107" s="64"/>
      <c r="AA107" s="64"/>
      <c r="AB107" s="64"/>
      <c r="AC107" s="64"/>
      <c r="AD107" s="64"/>
      <c r="AE107" s="64"/>
      <c r="AF107" s="64"/>
      <c r="AG107" s="64"/>
      <c r="AH107" s="64"/>
    </row>
    <row r="108" spans="1:34">
      <c r="A108" s="61"/>
      <c r="B108" s="142" t="s">
        <v>884</v>
      </c>
      <c r="C108" s="80" t="e">
        <f t="shared" ref="C108:C109" si="9">GETPIVOTDATA("SPARES COST",$A$49,"MONTH",$B108)</f>
        <v>#REF!</v>
      </c>
      <c r="D108" s="81" t="e">
        <f t="shared" ref="D108:D109" si="10">GETPIVOTDATA("SPARES COST (NGN)",$J$27,"MONTH",$B108)</f>
        <v>#REF!</v>
      </c>
      <c r="E108" s="138" t="e">
        <f t="shared" ref="E108:E109" si="11">GETPIVOTDATA("SPARES COST (NGN)",$X$50,"MONTH",$B108)</f>
        <v>#REF!</v>
      </c>
      <c r="F108" s="61"/>
      <c r="G108" s="61"/>
      <c r="H108" s="61"/>
      <c r="I108" s="76"/>
      <c r="J108" s="60"/>
      <c r="K108" s="60"/>
      <c r="L108" s="60"/>
      <c r="M108" s="60"/>
      <c r="N108" s="60"/>
      <c r="O108" s="60"/>
      <c r="P108" s="60"/>
      <c r="Q108" s="60"/>
      <c r="R108" s="60"/>
      <c r="S108" s="60"/>
      <c r="T108" s="60"/>
      <c r="U108" s="60"/>
      <c r="V108" s="60"/>
      <c r="W108" s="76"/>
      <c r="X108" s="64"/>
      <c r="Y108" s="64"/>
      <c r="Z108" s="64"/>
      <c r="AA108" s="64"/>
      <c r="AB108" s="64"/>
      <c r="AC108" s="64"/>
      <c r="AD108" s="64"/>
      <c r="AE108" s="64"/>
      <c r="AF108" s="64"/>
      <c r="AG108" s="64"/>
      <c r="AH108" s="64"/>
    </row>
    <row r="109" spans="1:34">
      <c r="A109" s="61"/>
      <c r="B109" s="142" t="s">
        <v>330</v>
      </c>
      <c r="C109" s="143" t="e">
        <f t="shared" si="9"/>
        <v>#REF!</v>
      </c>
      <c r="D109" s="144" t="e">
        <f t="shared" si="10"/>
        <v>#REF!</v>
      </c>
      <c r="E109" s="145" t="e">
        <f t="shared" si="11"/>
        <v>#REF!</v>
      </c>
      <c r="F109" s="61"/>
      <c r="G109" s="61"/>
      <c r="H109" s="61"/>
      <c r="I109" s="76"/>
      <c r="J109" s="60"/>
      <c r="K109" s="60"/>
      <c r="L109" s="60"/>
      <c r="M109" s="60"/>
      <c r="N109" s="60"/>
      <c r="O109" s="60"/>
      <c r="P109" s="60"/>
      <c r="Q109" s="60"/>
      <c r="R109" s="60"/>
      <c r="S109" s="60"/>
      <c r="T109" s="60"/>
      <c r="U109" s="60"/>
      <c r="V109" s="60"/>
      <c r="W109" s="76"/>
      <c r="X109" s="64"/>
      <c r="Y109" s="64"/>
      <c r="Z109" s="64"/>
      <c r="AA109" s="64"/>
      <c r="AB109" s="64"/>
      <c r="AC109" s="64"/>
      <c r="AD109" s="64"/>
      <c r="AE109" s="64"/>
      <c r="AF109" s="64"/>
      <c r="AG109" s="64"/>
      <c r="AH109" s="64"/>
    </row>
    <row r="110" spans="1:34">
      <c r="A110" s="61"/>
      <c r="B110" s="61"/>
      <c r="C110" s="61"/>
      <c r="D110" s="61"/>
      <c r="E110" s="61"/>
      <c r="F110" s="61"/>
      <c r="G110" s="61"/>
      <c r="H110" s="61"/>
      <c r="I110" s="76"/>
      <c r="J110" s="60"/>
      <c r="K110" s="60"/>
      <c r="L110" s="60"/>
      <c r="M110" s="60"/>
      <c r="N110" s="60"/>
      <c r="O110" s="60"/>
      <c r="P110" s="60"/>
      <c r="Q110" s="60"/>
      <c r="R110" s="60"/>
      <c r="S110" s="60"/>
      <c r="T110" s="60"/>
      <c r="U110" s="60"/>
      <c r="V110" s="60"/>
      <c r="W110" s="76"/>
      <c r="X110" s="64"/>
      <c r="Y110" s="64"/>
      <c r="Z110" s="64"/>
      <c r="AA110" s="64"/>
      <c r="AB110" s="64"/>
      <c r="AC110" s="64"/>
      <c r="AD110" s="64"/>
      <c r="AE110" s="64"/>
      <c r="AF110" s="64"/>
      <c r="AG110" s="64"/>
      <c r="AH110" s="64"/>
    </row>
    <row r="112" spans="1:34">
      <c r="A112" s="310" t="s">
        <v>902</v>
      </c>
      <c r="B112" s="310"/>
      <c r="C112" s="310"/>
    </row>
    <row r="114" spans="1:10">
      <c r="A114" s="134" t="s">
        <v>4</v>
      </c>
      <c r="B114" s="135" t="s">
        <v>903</v>
      </c>
      <c r="C114" s="136" t="s">
        <v>904</v>
      </c>
      <c r="D114" s="135" t="s">
        <v>905</v>
      </c>
      <c r="E114" s="135" t="s">
        <v>906</v>
      </c>
      <c r="F114" s="135" t="s">
        <v>907</v>
      </c>
      <c r="G114" s="135" t="s">
        <v>908</v>
      </c>
    </row>
    <row r="115" spans="1:10">
      <c r="A115" s="133" t="s">
        <v>909</v>
      </c>
      <c r="B115" s="118">
        <f>F50</f>
        <v>532114.25</v>
      </c>
      <c r="C115" s="98">
        <f>B116-B115</f>
        <v>768592.75</v>
      </c>
      <c r="D115" s="96">
        <f>B116/B115-1</f>
        <v>1.4444130184448172</v>
      </c>
      <c r="E115" s="14">
        <v>1.5</v>
      </c>
      <c r="F115" s="62">
        <f t="shared" ref="F115:F125" si="12">IF(B116&gt;=B115,B116,NA())</f>
        <v>1300707</v>
      </c>
      <c r="G115" s="97" t="e">
        <f t="shared" ref="G115:G125" si="13">IF(B116&lt;=B115,B116,NA())</f>
        <v>#N/A</v>
      </c>
    </row>
    <row r="116" spans="1:10">
      <c r="A116" s="133" t="s">
        <v>24</v>
      </c>
      <c r="B116" s="119">
        <f t="shared" ref="B116:B124" si="14">GETPIVOTDATA("SPARES COST",$A$49,"MONTH",$A116)</f>
        <v>1300707</v>
      </c>
      <c r="C116" s="98">
        <f t="shared" ref="C116:C125" si="15">B117-B116</f>
        <v>-1094151.1000000001</v>
      </c>
      <c r="D116" s="96">
        <f t="shared" ref="D116:D125" si="16">B117/B116-1</f>
        <v>-0.84119721044016837</v>
      </c>
      <c r="E116" s="14">
        <v>2.5</v>
      </c>
      <c r="F116" s="97" t="e">
        <f t="shared" si="12"/>
        <v>#N/A</v>
      </c>
      <c r="G116" s="97">
        <f t="shared" si="13"/>
        <v>206555.9</v>
      </c>
    </row>
    <row r="117" spans="1:10">
      <c r="A117" s="133" t="s">
        <v>107</v>
      </c>
      <c r="B117" s="119">
        <f t="shared" si="14"/>
        <v>206555.9</v>
      </c>
      <c r="C117" s="98">
        <f t="shared" si="15"/>
        <v>-44555.899999999994</v>
      </c>
      <c r="D117" s="96">
        <f t="shared" si="16"/>
        <v>-0.21570867740887578</v>
      </c>
      <c r="E117" s="14">
        <v>3.5</v>
      </c>
      <c r="F117" s="62" t="e">
        <f t="shared" si="12"/>
        <v>#N/A</v>
      </c>
      <c r="G117" s="97">
        <f t="shared" si="13"/>
        <v>162000</v>
      </c>
    </row>
    <row r="118" spans="1:10">
      <c r="A118" s="133" t="s">
        <v>164</v>
      </c>
      <c r="B118" s="119">
        <f t="shared" si="14"/>
        <v>162000</v>
      </c>
      <c r="C118" s="98">
        <f t="shared" si="15"/>
        <v>-162000</v>
      </c>
      <c r="D118" s="96">
        <f t="shared" si="16"/>
        <v>-1</v>
      </c>
      <c r="E118" s="14">
        <v>4.5</v>
      </c>
      <c r="F118" s="97" t="e">
        <f t="shared" si="12"/>
        <v>#N/A</v>
      </c>
      <c r="G118" s="97">
        <f t="shared" si="13"/>
        <v>0</v>
      </c>
    </row>
    <row r="119" spans="1:10">
      <c r="A119" s="133" t="s">
        <v>182</v>
      </c>
      <c r="B119" s="119">
        <f t="shared" si="14"/>
        <v>0</v>
      </c>
      <c r="C119" s="98">
        <f t="shared" si="15"/>
        <v>17000</v>
      </c>
      <c r="D119" s="96" t="e">
        <f t="shared" si="16"/>
        <v>#DIV/0!</v>
      </c>
      <c r="E119" s="14">
        <v>5.5</v>
      </c>
      <c r="F119" s="97">
        <f t="shared" si="12"/>
        <v>17000</v>
      </c>
      <c r="G119" s="97" t="e">
        <f t="shared" si="13"/>
        <v>#N/A</v>
      </c>
    </row>
    <row r="120" spans="1:10">
      <c r="A120" s="133" t="s">
        <v>33</v>
      </c>
      <c r="B120" s="95">
        <f t="shared" si="14"/>
        <v>17000</v>
      </c>
      <c r="C120" s="98" t="e">
        <f t="shared" si="15"/>
        <v>#REF!</v>
      </c>
      <c r="D120" s="96" t="e">
        <f t="shared" si="16"/>
        <v>#REF!</v>
      </c>
      <c r="E120" s="14">
        <v>6.5</v>
      </c>
      <c r="F120" s="97" t="e">
        <f t="shared" si="12"/>
        <v>#REF!</v>
      </c>
      <c r="G120" s="97" t="e">
        <f t="shared" si="13"/>
        <v>#REF!</v>
      </c>
    </row>
    <row r="121" spans="1:10">
      <c r="A121" s="133" t="s">
        <v>214</v>
      </c>
      <c r="B121" s="95" t="e">
        <f t="shared" si="14"/>
        <v>#REF!</v>
      </c>
      <c r="C121" s="98" t="e">
        <f t="shared" si="15"/>
        <v>#REF!</v>
      </c>
      <c r="D121" s="96" t="e">
        <f t="shared" si="16"/>
        <v>#REF!</v>
      </c>
      <c r="E121" s="14">
        <v>7.5</v>
      </c>
      <c r="F121" s="97" t="e">
        <f t="shared" si="12"/>
        <v>#REF!</v>
      </c>
      <c r="G121" s="97" t="e">
        <f t="shared" si="13"/>
        <v>#REF!</v>
      </c>
    </row>
    <row r="122" spans="1:10">
      <c r="A122" s="133" t="s">
        <v>231</v>
      </c>
      <c r="B122" s="95" t="e">
        <f t="shared" si="14"/>
        <v>#REF!</v>
      </c>
      <c r="C122" s="98" t="e">
        <f t="shared" si="15"/>
        <v>#REF!</v>
      </c>
      <c r="D122" s="96" t="e">
        <f t="shared" si="16"/>
        <v>#REF!</v>
      </c>
      <c r="E122" s="14">
        <v>8.5</v>
      </c>
      <c r="F122" s="97" t="e">
        <f t="shared" si="12"/>
        <v>#REF!</v>
      </c>
      <c r="G122" s="97" t="e">
        <f t="shared" si="13"/>
        <v>#REF!</v>
      </c>
    </row>
    <row r="123" spans="1:10">
      <c r="A123" s="133" t="s">
        <v>882</v>
      </c>
      <c r="B123" s="95" t="e">
        <f t="shared" si="14"/>
        <v>#REF!</v>
      </c>
      <c r="C123" s="98" t="e">
        <f t="shared" si="15"/>
        <v>#REF!</v>
      </c>
      <c r="D123" s="96" t="e">
        <f t="shared" si="16"/>
        <v>#REF!</v>
      </c>
      <c r="E123" s="14">
        <v>9.5</v>
      </c>
      <c r="F123" s="97" t="e">
        <f t="shared" si="12"/>
        <v>#REF!</v>
      </c>
      <c r="G123" s="97" t="e">
        <f t="shared" si="13"/>
        <v>#REF!</v>
      </c>
    </row>
    <row r="124" spans="1:10">
      <c r="A124" s="133" t="s">
        <v>883</v>
      </c>
      <c r="B124" s="95" t="e">
        <f t="shared" si="14"/>
        <v>#REF!</v>
      </c>
      <c r="C124" s="98" t="e">
        <f t="shared" si="15"/>
        <v>#REF!</v>
      </c>
      <c r="D124" s="96" t="e">
        <f t="shared" si="16"/>
        <v>#REF!</v>
      </c>
      <c r="E124" s="14">
        <v>10.5</v>
      </c>
      <c r="F124" s="97" t="e">
        <f t="shared" si="12"/>
        <v>#REF!</v>
      </c>
      <c r="G124" s="97" t="e">
        <f t="shared" si="13"/>
        <v>#REF!</v>
      </c>
    </row>
    <row r="125" spans="1:10">
      <c r="A125" s="133" t="s">
        <v>884</v>
      </c>
      <c r="B125" s="95" t="e">
        <f t="shared" ref="B125:B126" si="17">GETPIVOTDATA("SPARES COST",$A$49,"MONTH",$A125)</f>
        <v>#REF!</v>
      </c>
      <c r="C125" s="98" t="e">
        <f t="shared" si="15"/>
        <v>#REF!</v>
      </c>
      <c r="D125" s="96" t="e">
        <f t="shared" si="16"/>
        <v>#REF!</v>
      </c>
      <c r="E125" s="14">
        <v>11.5</v>
      </c>
      <c r="F125" s="97" t="e">
        <f t="shared" si="12"/>
        <v>#REF!</v>
      </c>
      <c r="G125" s="97" t="e">
        <f t="shared" si="13"/>
        <v>#REF!</v>
      </c>
    </row>
    <row r="126" spans="1:10">
      <c r="A126" s="146" t="s">
        <v>330</v>
      </c>
      <c r="B126" s="147" t="e">
        <f t="shared" si="17"/>
        <v>#REF!</v>
      </c>
      <c r="C126" s="148"/>
      <c r="D126" s="149"/>
      <c r="E126" s="24"/>
      <c r="F126" s="150"/>
      <c r="G126" s="150"/>
    </row>
    <row r="128" spans="1:10">
      <c r="A128" s="99"/>
      <c r="B128" s="99"/>
      <c r="C128" s="99"/>
      <c r="D128" s="99"/>
      <c r="E128" s="99"/>
      <c r="F128" s="99"/>
      <c r="G128" s="99"/>
      <c r="H128" s="99"/>
      <c r="I128" s="99"/>
      <c r="J128" s="99"/>
    </row>
    <row r="130" spans="1:7">
      <c r="A130" s="310" t="s">
        <v>910</v>
      </c>
      <c r="B130" s="310"/>
      <c r="C130" s="310"/>
    </row>
    <row r="132" spans="1:7">
      <c r="A132" s="134" t="s">
        <v>4</v>
      </c>
      <c r="B132" s="135" t="s">
        <v>903</v>
      </c>
      <c r="C132" s="136" t="s">
        <v>904</v>
      </c>
      <c r="D132" s="135" t="s">
        <v>905</v>
      </c>
      <c r="E132" s="135" t="s">
        <v>906</v>
      </c>
      <c r="F132" s="135" t="s">
        <v>907</v>
      </c>
      <c r="G132" s="135" t="s">
        <v>908</v>
      </c>
    </row>
    <row r="133" spans="1:7">
      <c r="A133" s="133" t="s">
        <v>909</v>
      </c>
      <c r="B133" s="95">
        <f>O27</f>
        <v>5384269</v>
      </c>
      <c r="C133" s="98" t="e">
        <f>B134-B133</f>
        <v>#REF!</v>
      </c>
      <c r="D133" s="96" t="e">
        <f>B134/B133-1</f>
        <v>#REF!</v>
      </c>
      <c r="E133" s="14">
        <v>1.5</v>
      </c>
      <c r="F133" s="62" t="e">
        <f t="shared" ref="F133:F143" si="18">IF(B134&gt;=B133,B134,NA())</f>
        <v>#REF!</v>
      </c>
      <c r="G133" s="97" t="e">
        <f t="shared" ref="G133:G143" si="19">IF(B134&lt;=B133,B134,NA())</f>
        <v>#REF!</v>
      </c>
    </row>
    <row r="134" spans="1:7">
      <c r="A134" s="133" t="s">
        <v>24</v>
      </c>
      <c r="B134" s="95" t="e">
        <f t="shared" ref="B134:B142" si="20">GETPIVOTDATA("SPARES COST (NGN)",$J$27,"MONTH",$A134)</f>
        <v>#REF!</v>
      </c>
      <c r="C134" s="98" t="e">
        <f t="shared" ref="C134:C143" si="21">B135-B134</f>
        <v>#REF!</v>
      </c>
      <c r="D134" s="96" t="e">
        <f t="shared" ref="D134:D143" si="22">B135/B134-1</f>
        <v>#REF!</v>
      </c>
      <c r="E134" s="14">
        <v>2.5</v>
      </c>
      <c r="F134" s="97" t="e">
        <f t="shared" si="18"/>
        <v>#REF!</v>
      </c>
      <c r="G134" s="97" t="e">
        <f t="shared" si="19"/>
        <v>#REF!</v>
      </c>
    </row>
    <row r="135" spans="1:7">
      <c r="A135" s="133" t="s">
        <v>107</v>
      </c>
      <c r="B135" s="95" t="e">
        <f t="shared" si="20"/>
        <v>#REF!</v>
      </c>
      <c r="C135" s="98" t="e">
        <f t="shared" si="21"/>
        <v>#REF!</v>
      </c>
      <c r="D135" s="96" t="e">
        <f t="shared" si="22"/>
        <v>#REF!</v>
      </c>
      <c r="E135" s="14">
        <v>3.5</v>
      </c>
      <c r="F135" s="62" t="e">
        <f t="shared" si="18"/>
        <v>#REF!</v>
      </c>
      <c r="G135" s="97" t="e">
        <f t="shared" si="19"/>
        <v>#REF!</v>
      </c>
    </row>
    <row r="136" spans="1:7">
      <c r="A136" s="133" t="s">
        <v>164</v>
      </c>
      <c r="B136" s="95" t="e">
        <f t="shared" si="20"/>
        <v>#REF!</v>
      </c>
      <c r="C136" s="98" t="e">
        <f t="shared" si="21"/>
        <v>#REF!</v>
      </c>
      <c r="D136" s="96" t="e">
        <f t="shared" si="22"/>
        <v>#REF!</v>
      </c>
      <c r="E136" s="14">
        <v>4.5</v>
      </c>
      <c r="F136" s="97" t="e">
        <f t="shared" si="18"/>
        <v>#REF!</v>
      </c>
      <c r="G136" s="97" t="e">
        <f t="shared" si="19"/>
        <v>#REF!</v>
      </c>
    </row>
    <row r="137" spans="1:7">
      <c r="A137" s="133" t="s">
        <v>182</v>
      </c>
      <c r="B137" s="95" t="e">
        <f t="shared" si="20"/>
        <v>#REF!</v>
      </c>
      <c r="C137" s="98" t="e">
        <f t="shared" si="21"/>
        <v>#REF!</v>
      </c>
      <c r="D137" s="96" t="e">
        <f t="shared" si="22"/>
        <v>#REF!</v>
      </c>
      <c r="E137" s="14">
        <v>5.5</v>
      </c>
      <c r="F137" s="97" t="e">
        <f t="shared" si="18"/>
        <v>#REF!</v>
      </c>
      <c r="G137" s="97" t="e">
        <f t="shared" si="19"/>
        <v>#REF!</v>
      </c>
    </row>
    <row r="138" spans="1:7">
      <c r="A138" s="133" t="s">
        <v>33</v>
      </c>
      <c r="B138" s="95" t="e">
        <f t="shared" si="20"/>
        <v>#REF!</v>
      </c>
      <c r="C138" s="98" t="e">
        <f t="shared" si="21"/>
        <v>#REF!</v>
      </c>
      <c r="D138" s="96" t="e">
        <f t="shared" si="22"/>
        <v>#REF!</v>
      </c>
      <c r="E138" s="14">
        <v>6.5</v>
      </c>
      <c r="F138" s="97" t="e">
        <f t="shared" si="18"/>
        <v>#REF!</v>
      </c>
      <c r="G138" s="97" t="e">
        <f t="shared" si="19"/>
        <v>#REF!</v>
      </c>
    </row>
    <row r="139" spans="1:7">
      <c r="A139" s="133" t="s">
        <v>214</v>
      </c>
      <c r="B139" s="95" t="e">
        <f t="shared" si="20"/>
        <v>#REF!</v>
      </c>
      <c r="C139" s="98" t="e">
        <f t="shared" si="21"/>
        <v>#REF!</v>
      </c>
      <c r="D139" s="96" t="e">
        <f t="shared" si="22"/>
        <v>#REF!</v>
      </c>
      <c r="E139" s="14">
        <v>7.5</v>
      </c>
      <c r="F139" s="97" t="e">
        <f t="shared" si="18"/>
        <v>#REF!</v>
      </c>
      <c r="G139" s="97" t="e">
        <f t="shared" si="19"/>
        <v>#REF!</v>
      </c>
    </row>
    <row r="140" spans="1:7">
      <c r="A140" s="133" t="s">
        <v>231</v>
      </c>
      <c r="B140" s="95" t="e">
        <f t="shared" si="20"/>
        <v>#REF!</v>
      </c>
      <c r="C140" s="98" t="e">
        <f t="shared" si="21"/>
        <v>#REF!</v>
      </c>
      <c r="D140" s="96" t="e">
        <f t="shared" si="22"/>
        <v>#REF!</v>
      </c>
      <c r="E140" s="14">
        <v>8.5</v>
      </c>
      <c r="F140" s="97" t="e">
        <f t="shared" si="18"/>
        <v>#REF!</v>
      </c>
      <c r="G140" s="97" t="e">
        <f t="shared" si="19"/>
        <v>#REF!</v>
      </c>
    </row>
    <row r="141" spans="1:7">
      <c r="A141" s="133" t="s">
        <v>882</v>
      </c>
      <c r="B141" s="95" t="e">
        <f t="shared" si="20"/>
        <v>#REF!</v>
      </c>
      <c r="C141" s="98" t="e">
        <f t="shared" si="21"/>
        <v>#REF!</v>
      </c>
      <c r="D141" s="96" t="e">
        <f t="shared" si="22"/>
        <v>#REF!</v>
      </c>
      <c r="E141" s="14">
        <v>9.5</v>
      </c>
      <c r="F141" s="97" t="e">
        <f t="shared" si="18"/>
        <v>#REF!</v>
      </c>
      <c r="G141" s="97" t="e">
        <f t="shared" si="19"/>
        <v>#REF!</v>
      </c>
    </row>
    <row r="142" spans="1:7">
      <c r="A142" s="133" t="s">
        <v>883</v>
      </c>
      <c r="B142" s="95" t="e">
        <f t="shared" si="20"/>
        <v>#REF!</v>
      </c>
      <c r="C142" s="98" t="e">
        <f t="shared" si="21"/>
        <v>#REF!</v>
      </c>
      <c r="D142" s="96" t="e">
        <f t="shared" si="22"/>
        <v>#REF!</v>
      </c>
      <c r="E142" s="14">
        <v>10.5</v>
      </c>
      <c r="F142" s="97" t="e">
        <f t="shared" si="18"/>
        <v>#REF!</v>
      </c>
      <c r="G142" s="97" t="e">
        <f t="shared" si="19"/>
        <v>#REF!</v>
      </c>
    </row>
    <row r="143" spans="1:7">
      <c r="A143" s="133" t="s">
        <v>884</v>
      </c>
      <c r="B143" s="95" t="e">
        <f t="shared" ref="B143:B144" si="23">GETPIVOTDATA("SPARES COST (NGN)",$J$27,"MONTH",$A143)</f>
        <v>#REF!</v>
      </c>
      <c r="C143" s="98" t="e">
        <f t="shared" si="21"/>
        <v>#REF!</v>
      </c>
      <c r="D143" s="96" t="e">
        <f t="shared" si="22"/>
        <v>#REF!</v>
      </c>
      <c r="E143" s="14">
        <v>11.5</v>
      </c>
      <c r="F143" s="97" t="e">
        <f t="shared" si="18"/>
        <v>#REF!</v>
      </c>
      <c r="G143" s="97" t="e">
        <f t="shared" si="19"/>
        <v>#REF!</v>
      </c>
    </row>
    <row r="144" spans="1:7">
      <c r="A144" s="146" t="s">
        <v>330</v>
      </c>
      <c r="B144" s="147" t="e">
        <f t="shared" si="23"/>
        <v>#REF!</v>
      </c>
      <c r="C144" s="148"/>
      <c r="D144" s="149"/>
      <c r="F144" s="150"/>
      <c r="G144" s="150"/>
    </row>
    <row r="146" spans="1:9">
      <c r="A146" s="99"/>
      <c r="B146" s="99"/>
      <c r="C146" s="99"/>
      <c r="D146" s="99"/>
      <c r="E146" s="99"/>
      <c r="F146" s="99"/>
      <c r="G146" s="99"/>
      <c r="H146" s="99"/>
      <c r="I146" s="99"/>
    </row>
    <row r="149" spans="1:9">
      <c r="A149" s="310" t="s">
        <v>911</v>
      </c>
      <c r="B149" s="310"/>
      <c r="C149" s="310"/>
    </row>
    <row r="151" spans="1:9">
      <c r="A151" s="134" t="s">
        <v>4</v>
      </c>
      <c r="B151" s="135" t="s">
        <v>903</v>
      </c>
      <c r="C151" s="136" t="s">
        <v>904</v>
      </c>
      <c r="D151" s="135" t="s">
        <v>905</v>
      </c>
      <c r="E151" s="135" t="s">
        <v>906</v>
      </c>
      <c r="F151" s="135" t="s">
        <v>907</v>
      </c>
      <c r="G151" s="135" t="s">
        <v>908</v>
      </c>
    </row>
    <row r="152" spans="1:9">
      <c r="A152" s="133" t="s">
        <v>909</v>
      </c>
      <c r="B152" s="95">
        <f>AC50</f>
        <v>532114.25</v>
      </c>
      <c r="C152" s="98" t="e">
        <f>B153-B152</f>
        <v>#REF!</v>
      </c>
      <c r="D152" s="96" t="e">
        <f>B153/B152-1</f>
        <v>#REF!</v>
      </c>
      <c r="E152" s="14">
        <v>1.5</v>
      </c>
      <c r="F152" s="62" t="e">
        <f t="shared" ref="F152:F162" si="24">IF(B153&gt;=B152,B153,NA())</f>
        <v>#REF!</v>
      </c>
      <c r="G152" s="97" t="e">
        <f t="shared" ref="G152:G162" si="25">IF(B153&lt;=B152,B153,NA())</f>
        <v>#REF!</v>
      </c>
    </row>
    <row r="153" spans="1:9">
      <c r="A153" s="133" t="s">
        <v>24</v>
      </c>
      <c r="B153" s="95" t="e">
        <f t="shared" ref="B153:B161" si="26">GETPIVOTDATA("SPARES COST (NGN)",$X$50,"MONTH",$A153)</f>
        <v>#REF!</v>
      </c>
      <c r="C153" s="98" t="e">
        <f t="shared" ref="C153:C162" si="27">B154-B153</f>
        <v>#REF!</v>
      </c>
      <c r="D153" s="96" t="e">
        <f t="shared" ref="D153:D162" si="28">B154/B153-1</f>
        <v>#REF!</v>
      </c>
      <c r="E153" s="14">
        <v>2.5</v>
      </c>
      <c r="F153" s="97" t="e">
        <f t="shared" si="24"/>
        <v>#REF!</v>
      </c>
      <c r="G153" s="97" t="e">
        <f t="shared" si="25"/>
        <v>#REF!</v>
      </c>
    </row>
    <row r="154" spans="1:9">
      <c r="A154" s="133" t="s">
        <v>107</v>
      </c>
      <c r="B154" s="95" t="e">
        <f t="shared" si="26"/>
        <v>#REF!</v>
      </c>
      <c r="C154" s="98" t="e">
        <f t="shared" si="27"/>
        <v>#REF!</v>
      </c>
      <c r="D154" s="96" t="e">
        <f t="shared" si="28"/>
        <v>#REF!</v>
      </c>
      <c r="E154" s="14">
        <v>3.5</v>
      </c>
      <c r="F154" s="62" t="e">
        <f t="shared" si="24"/>
        <v>#REF!</v>
      </c>
      <c r="G154" s="97" t="e">
        <f t="shared" si="25"/>
        <v>#REF!</v>
      </c>
    </row>
    <row r="155" spans="1:9">
      <c r="A155" s="133" t="s">
        <v>164</v>
      </c>
      <c r="B155" s="95" t="e">
        <f t="shared" si="26"/>
        <v>#REF!</v>
      </c>
      <c r="C155" s="98" t="e">
        <f t="shared" si="27"/>
        <v>#REF!</v>
      </c>
      <c r="D155" s="96" t="e">
        <f t="shared" si="28"/>
        <v>#REF!</v>
      </c>
      <c r="E155" s="14">
        <v>4.5</v>
      </c>
      <c r="F155" s="97" t="e">
        <f t="shared" si="24"/>
        <v>#REF!</v>
      </c>
      <c r="G155" s="97" t="e">
        <f t="shared" si="25"/>
        <v>#REF!</v>
      </c>
    </row>
    <row r="156" spans="1:9">
      <c r="A156" s="133" t="s">
        <v>182</v>
      </c>
      <c r="B156" s="95" t="e">
        <f t="shared" si="26"/>
        <v>#REF!</v>
      </c>
      <c r="C156" s="98" t="e">
        <f t="shared" si="27"/>
        <v>#REF!</v>
      </c>
      <c r="D156" s="96" t="e">
        <f t="shared" si="28"/>
        <v>#REF!</v>
      </c>
      <c r="E156" s="14">
        <v>5.5</v>
      </c>
      <c r="F156" s="97" t="e">
        <f t="shared" si="24"/>
        <v>#REF!</v>
      </c>
      <c r="G156" s="97" t="e">
        <f t="shared" si="25"/>
        <v>#REF!</v>
      </c>
    </row>
    <row r="157" spans="1:9">
      <c r="A157" s="133" t="s">
        <v>33</v>
      </c>
      <c r="B157" s="95" t="e">
        <f t="shared" si="26"/>
        <v>#REF!</v>
      </c>
      <c r="C157" s="98" t="e">
        <f t="shared" si="27"/>
        <v>#REF!</v>
      </c>
      <c r="D157" s="96" t="e">
        <f t="shared" si="28"/>
        <v>#REF!</v>
      </c>
      <c r="E157" s="14">
        <v>6.5</v>
      </c>
      <c r="F157" s="97" t="e">
        <f t="shared" si="24"/>
        <v>#REF!</v>
      </c>
      <c r="G157" s="97" t="e">
        <f t="shared" si="25"/>
        <v>#REF!</v>
      </c>
    </row>
    <row r="158" spans="1:9">
      <c r="A158" s="133" t="s">
        <v>214</v>
      </c>
      <c r="B158" s="95" t="e">
        <f t="shared" si="26"/>
        <v>#REF!</v>
      </c>
      <c r="C158" s="98" t="e">
        <f t="shared" si="27"/>
        <v>#REF!</v>
      </c>
      <c r="D158" s="96" t="e">
        <f t="shared" si="28"/>
        <v>#REF!</v>
      </c>
      <c r="E158" s="14">
        <v>7.5</v>
      </c>
      <c r="F158" s="97" t="e">
        <f t="shared" si="24"/>
        <v>#REF!</v>
      </c>
      <c r="G158" s="97" t="e">
        <f t="shared" si="25"/>
        <v>#REF!</v>
      </c>
    </row>
    <row r="159" spans="1:9">
      <c r="A159" s="133" t="s">
        <v>231</v>
      </c>
      <c r="B159" s="95" t="e">
        <f t="shared" si="26"/>
        <v>#REF!</v>
      </c>
      <c r="C159" s="98" t="e">
        <f t="shared" si="27"/>
        <v>#REF!</v>
      </c>
      <c r="D159" s="96" t="e">
        <f t="shared" si="28"/>
        <v>#REF!</v>
      </c>
      <c r="E159" s="14">
        <v>8.5</v>
      </c>
      <c r="F159" s="97" t="e">
        <f t="shared" si="24"/>
        <v>#REF!</v>
      </c>
      <c r="G159" s="97" t="e">
        <f t="shared" si="25"/>
        <v>#REF!</v>
      </c>
    </row>
    <row r="160" spans="1:9">
      <c r="A160" s="133" t="s">
        <v>882</v>
      </c>
      <c r="B160" s="95" t="e">
        <f t="shared" si="26"/>
        <v>#REF!</v>
      </c>
      <c r="C160" s="98" t="e">
        <f t="shared" si="27"/>
        <v>#REF!</v>
      </c>
      <c r="D160" s="96" t="e">
        <f t="shared" si="28"/>
        <v>#REF!</v>
      </c>
      <c r="E160" s="14">
        <v>9.5</v>
      </c>
      <c r="F160" s="97" t="e">
        <f t="shared" si="24"/>
        <v>#REF!</v>
      </c>
      <c r="G160" s="97" t="e">
        <f t="shared" si="25"/>
        <v>#REF!</v>
      </c>
    </row>
    <row r="161" spans="1:8">
      <c r="A161" s="133" t="s">
        <v>883</v>
      </c>
      <c r="B161" s="95" t="e">
        <f t="shared" si="26"/>
        <v>#REF!</v>
      </c>
      <c r="C161" s="98" t="e">
        <f t="shared" si="27"/>
        <v>#REF!</v>
      </c>
      <c r="D161" s="96" t="e">
        <f t="shared" si="28"/>
        <v>#REF!</v>
      </c>
      <c r="E161" s="14">
        <v>10.5</v>
      </c>
      <c r="F161" s="97" t="e">
        <f t="shared" si="24"/>
        <v>#REF!</v>
      </c>
      <c r="G161" s="97" t="e">
        <f t="shared" si="25"/>
        <v>#REF!</v>
      </c>
    </row>
    <row r="162" spans="1:8">
      <c r="A162" s="133" t="s">
        <v>884</v>
      </c>
      <c r="B162" s="95" t="e">
        <f t="shared" ref="B162:B163" si="29">GETPIVOTDATA("SPARES COST (NGN)",$X$50,"MONTH",$A162)</f>
        <v>#REF!</v>
      </c>
      <c r="C162" s="98" t="e">
        <f t="shared" si="27"/>
        <v>#REF!</v>
      </c>
      <c r="D162" s="96" t="e">
        <f t="shared" si="28"/>
        <v>#REF!</v>
      </c>
      <c r="E162" s="14">
        <v>11.5</v>
      </c>
      <c r="F162" s="97" t="e">
        <f t="shared" si="24"/>
        <v>#REF!</v>
      </c>
      <c r="G162" s="97" t="e">
        <f t="shared" si="25"/>
        <v>#REF!</v>
      </c>
    </row>
    <row r="163" spans="1:8">
      <c r="A163" s="146" t="s">
        <v>330</v>
      </c>
      <c r="B163" s="147" t="e">
        <f t="shared" si="29"/>
        <v>#REF!</v>
      </c>
      <c r="C163" s="148"/>
      <c r="D163" s="149"/>
      <c r="E163" s="24"/>
      <c r="F163" s="150"/>
      <c r="G163" s="150"/>
    </row>
    <row r="167" spans="1:8">
      <c r="A167" s="120" t="s">
        <v>640</v>
      </c>
      <c r="D167" s="120" t="s">
        <v>641</v>
      </c>
      <c r="G167" s="120" t="s">
        <v>320</v>
      </c>
    </row>
    <row r="168" spans="1:8">
      <c r="A168" t="s">
        <v>871</v>
      </c>
      <c r="D168" s="102" t="s">
        <v>912</v>
      </c>
      <c r="E168" t="s">
        <v>871</v>
      </c>
      <c r="G168" t="s">
        <v>871</v>
      </c>
    </row>
    <row r="169" spans="1:8">
      <c r="A169" s="103">
        <v>1686262.9</v>
      </c>
      <c r="D169" s="93" t="s">
        <v>872</v>
      </c>
      <c r="E169" s="103"/>
      <c r="G169" s="103"/>
    </row>
    <row r="174" spans="1:8">
      <c r="A174" s="93" t="s">
        <v>646</v>
      </c>
      <c r="B174" s="104" t="e">
        <f>GETPIVOTDATA("SPARES COST",$A$168,"CITY","LAGOS")</f>
        <v>#REF!</v>
      </c>
      <c r="D174" s="93" t="s">
        <v>816</v>
      </c>
      <c r="E174" s="104" t="e">
        <f>GETPIVOTDATA("SPARES COST (NGN)",$D$168,"REPAIR / MAINTENANCE LOCATION","Lagos")</f>
        <v>#REF!</v>
      </c>
      <c r="G174" s="93" t="s">
        <v>646</v>
      </c>
      <c r="H174" s="104" t="e">
        <f>GETPIVOTDATA("SPARES COST (NGN)",$G$168,"CITY","LAGOS")</f>
        <v>#REF!</v>
      </c>
    </row>
    <row r="175" spans="1:8">
      <c r="A175" s="93" t="s">
        <v>27</v>
      </c>
      <c r="B175" s="104" t="e">
        <f>GETPIVOTDATA("SPARES COST",$A$168,"CITY","PORT HARCOURT")</f>
        <v>#REF!</v>
      </c>
      <c r="D175" s="93" t="s">
        <v>813</v>
      </c>
      <c r="E175" s="104" t="e">
        <f>GETPIVOTDATA("SPARES COST (NGN)",$D$168,"REPAIR / MAINTENANCE LOCATION","Port Harcourt")</f>
        <v>#REF!</v>
      </c>
      <c r="G175" s="93" t="s">
        <v>27</v>
      </c>
      <c r="H175" s="104" t="e">
        <f>GETPIVOTDATA("SPARES COST (NGN)",$G$168,"CITY","PORT HARCOURT")</f>
        <v>#REF!</v>
      </c>
    </row>
    <row r="176" spans="1:8">
      <c r="A176" s="93" t="s">
        <v>648</v>
      </c>
      <c r="B176" s="104" t="e">
        <f>GETPIVOTDATA("SPARES COST",$A$168,"CITY","UYO")</f>
        <v>#REF!</v>
      </c>
      <c r="D176" s="93" t="s">
        <v>876</v>
      </c>
      <c r="E176" s="104" t="e">
        <f>GETPIVOTDATA("SPARES COST (NGN)",$D$168,"REPAIR / MAINTENANCE LOCATION","Abuja")</f>
        <v>#REF!</v>
      </c>
      <c r="G176" s="93" t="s">
        <v>648</v>
      </c>
      <c r="H176" s="104" t="e">
        <f>GETPIVOTDATA("SPARES COST (NGN)",$G$168,"CITY","UYO")</f>
        <v>#REF!</v>
      </c>
    </row>
    <row r="177" spans="1:8">
      <c r="A177" s="93"/>
      <c r="B177" s="104"/>
      <c r="D177" s="93" t="s">
        <v>551</v>
      </c>
      <c r="E177" s="104" t="e">
        <f>GETPIVOTDATA("SPARES COST (NGN)",$D$168,"REPAIR / MAINTENANCE LOCATION","UYO")</f>
        <v>#REF!</v>
      </c>
      <c r="G177" s="93"/>
      <c r="H177" s="104"/>
    </row>
    <row r="179" spans="1:8">
      <c r="A179" s="306" t="s">
        <v>913</v>
      </c>
      <c r="B179" s="306"/>
    </row>
    <row r="180" spans="1:8">
      <c r="A180" s="93"/>
    </row>
    <row r="181" spans="1:8">
      <c r="A181" s="105" t="s">
        <v>646</v>
      </c>
      <c r="B181" s="95" t="e">
        <f>GETPIVOTDATA("SPARES COST",$A$168,"CITY","LAGOS")+GETPIVOTDATA("SPARES COST (NGN)",$D$168,"REPAIR / MAINTENANCE LOCATION","Lagos")+GETPIVOTDATA("SPARES COST (NGN)",$G$168,"CITY","LAGOS")</f>
        <v>#REF!</v>
      </c>
    </row>
    <row r="182" spans="1:8">
      <c r="A182" s="105" t="s">
        <v>27</v>
      </c>
      <c r="B182" s="95" t="e">
        <f>GETPIVOTDATA("SPARES COST",$A$168,"CITY","PORT HARCOURT")+GETPIVOTDATA("SPARES COST (NGN)",$D$168,"REPAIR / MAINTENANCE LOCATION","Port Harcourt")+GETPIVOTDATA("SPARES COST (NGN)",$G$168,"CITY","PORT HARCOURT")</f>
        <v>#REF!</v>
      </c>
    </row>
    <row r="183" spans="1:8">
      <c r="A183" s="105" t="s">
        <v>648</v>
      </c>
      <c r="B183" s="95" t="e">
        <f>GETPIVOTDATA("SPARES COST",$A$168,"CITY","UYO")+GETPIVOTDATA("SPARES COST (NGN)",$G$168,"CITY","UYO")+E177</f>
        <v>#REF!</v>
      </c>
    </row>
    <row r="184" spans="1:8">
      <c r="A184" s="105" t="s">
        <v>643</v>
      </c>
      <c r="B184" s="95" t="e">
        <f>GETPIVOTDATA("SPARES COST (NGN)",$D$168,"REPAIR / MAINTENANCE LOCATION","Abuja")</f>
        <v>#REF!</v>
      </c>
    </row>
  </sheetData>
  <mergeCells count="9">
    <mergeCell ref="A179:B179"/>
    <mergeCell ref="F1:G1"/>
    <mergeCell ref="C1:E1"/>
    <mergeCell ref="A112:C112"/>
    <mergeCell ref="AF86:AG86"/>
    <mergeCell ref="A130:C130"/>
    <mergeCell ref="A149:C149"/>
    <mergeCell ref="D86:E86"/>
    <mergeCell ref="O86:P86"/>
  </mergeCells>
  <phoneticPr fontId="11" type="noConversion"/>
  <pageMargins left="0.7" right="0.7" top="0.75" bottom="0.75" header="0.3" footer="0.3"/>
  <pageSetup orientation="portrait" r:id="rId13"/>
  <drawing r:id="rId14"/>
  <tableParts count="4">
    <tablePart r:id="rId15"/>
    <tablePart r:id="rId16"/>
    <tablePart r:id="rId17"/>
    <tablePart r:id="rId18"/>
  </tableParts>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9:V209"/>
  <sheetViews>
    <sheetView showGridLines="0" showRowColHeaders="0" zoomScaleNormal="100" workbookViewId="0">
      <selection activeCell="S16" sqref="S16"/>
    </sheetView>
  </sheetViews>
  <sheetFormatPr defaultColWidth="8.81640625" defaultRowHeight="14.5"/>
  <cols>
    <col min="1" max="1" width="5.7265625" style="34" customWidth="1"/>
    <col min="2" max="2" width="5.54296875" style="34" customWidth="1"/>
    <col min="3" max="6" width="8.81640625" style="34"/>
    <col min="7" max="7" width="10.453125" style="34" customWidth="1"/>
    <col min="8" max="8" width="13.7265625" style="34" bestFit="1" customWidth="1"/>
    <col min="9" max="10" width="8.81640625" style="34"/>
    <col min="11" max="11" width="8.7265625" style="34" customWidth="1"/>
    <col min="12" max="12" width="8.81640625" style="34"/>
    <col min="13" max="13" width="12.7265625" style="34" customWidth="1"/>
    <col min="14" max="14" width="20.7265625" style="34" customWidth="1"/>
    <col min="15" max="15" width="11.81640625" style="34" customWidth="1"/>
    <col min="16" max="16" width="12.54296875" style="34" bestFit="1" customWidth="1"/>
    <col min="17" max="17" width="13.7265625" style="34" bestFit="1" customWidth="1"/>
    <col min="18" max="18" width="14.7265625" style="34" customWidth="1"/>
    <col min="19" max="19" width="13.26953125" style="34" bestFit="1" customWidth="1"/>
    <col min="20" max="16384" width="8.81640625" style="34"/>
  </cols>
  <sheetData>
    <row r="9" spans="3:19" ht="10.15" customHeight="1"/>
    <row r="10" spans="3:19" ht="21.65" customHeight="1">
      <c r="C10" s="313"/>
      <c r="D10" s="313"/>
      <c r="E10" s="313"/>
      <c r="F10" s="313"/>
      <c r="H10" s="313"/>
      <c r="I10" s="313"/>
      <c r="J10" s="313"/>
      <c r="K10" s="313"/>
      <c r="L10" s="313"/>
      <c r="M10" s="313"/>
      <c r="N10" s="313"/>
      <c r="O10" s="313"/>
      <c r="Q10" s="313"/>
      <c r="R10" s="313"/>
      <c r="S10" s="313"/>
    </row>
    <row r="11" spans="3:19" ht="5.5" customHeight="1"/>
    <row r="13" spans="3:19">
      <c r="D13" s="36"/>
      <c r="G13" s="36"/>
    </row>
    <row r="17" spans="4:7">
      <c r="G17" s="36"/>
    </row>
    <row r="20" spans="4:7">
      <c r="D20" s="36"/>
    </row>
    <row r="36" spans="13:17">
      <c r="Q36" s="35"/>
    </row>
    <row r="41" spans="13:17">
      <c r="M41" s="34" t="s">
        <v>313</v>
      </c>
    </row>
    <row r="43" spans="13:17" ht="6.65" customHeight="1"/>
    <row r="44" spans="13:17" ht="9" customHeight="1"/>
    <row r="52" spans="14:17" ht="15" customHeight="1"/>
    <row r="56" spans="14:17">
      <c r="Q56" s="37"/>
    </row>
    <row r="58" spans="14:17" ht="13.9" customHeight="1"/>
    <row r="62" spans="14:17" ht="15" customHeight="1">
      <c r="N62" s="312"/>
      <c r="O62" s="312"/>
      <c r="P62" s="312"/>
    </row>
    <row r="63" spans="14:17" ht="13.9" customHeight="1">
      <c r="N63" s="312"/>
      <c r="O63" s="312"/>
      <c r="P63" s="312"/>
    </row>
    <row r="65" spans="1:20" ht="17.25" customHeight="1">
      <c r="A65" s="75"/>
      <c r="B65" s="75"/>
      <c r="C65" s="75"/>
      <c r="D65" s="75"/>
      <c r="E65" s="75"/>
      <c r="F65" s="75"/>
      <c r="G65" s="75"/>
      <c r="H65" s="75"/>
      <c r="I65" s="75"/>
      <c r="J65" s="75"/>
      <c r="K65" s="75"/>
      <c r="L65" s="75"/>
      <c r="M65" s="75"/>
      <c r="N65" s="75"/>
      <c r="O65" s="75"/>
      <c r="P65" s="75"/>
      <c r="Q65" s="75"/>
      <c r="R65" s="75"/>
      <c r="S65" s="75"/>
      <c r="T65" s="75"/>
    </row>
    <row r="66" spans="1:20" ht="11.25" customHeight="1"/>
    <row r="67" spans="1:20" ht="14.25" customHeight="1"/>
    <row r="78" spans="1:20">
      <c r="H78" s="37"/>
    </row>
    <row r="92" spans="13:20">
      <c r="M92" t="s">
        <v>4</v>
      </c>
      <c r="N92" s="100" t="s">
        <v>871</v>
      </c>
      <c r="P92" s="122" t="e">
        <f>Data_Analysis!T52</f>
        <v>#NUM!</v>
      </c>
      <c r="Q92" s="122"/>
      <c r="R92" s="122"/>
      <c r="S92" s="123" t="e">
        <f>Data_Analysis!U52</f>
        <v>#NUM!</v>
      </c>
      <c r="T92" s="125" t="e">
        <f>INDEX(Vehicle[REPAIR / MAINTENANCE LOCATION],MATCH(DashBoard!P92,Vehicle[VEHICLE REG NO.],0))</f>
        <v>#NUM!</v>
      </c>
    </row>
    <row r="93" spans="13:20">
      <c r="M93" s="93" t="s">
        <v>873</v>
      </c>
      <c r="N93" s="94"/>
      <c r="P93" s="122" t="e">
        <f>Data_Analysis!T53</f>
        <v>#NUM!</v>
      </c>
      <c r="Q93" s="122"/>
      <c r="R93" s="122"/>
      <c r="S93" s="123" t="e">
        <f>Data_Analysis!U53</f>
        <v>#NUM!</v>
      </c>
      <c r="T93" s="125" t="e">
        <f>INDEX(Vehicle[REPAIR / MAINTENANCE LOCATION],MATCH(DashBoard!P93,Vehicle[VEHICLE REG NO.],0))</f>
        <v>#NUM!</v>
      </c>
    </row>
    <row r="94" spans="13:20">
      <c r="M94" s="93" t="s">
        <v>872</v>
      </c>
      <c r="N94" s="94"/>
      <c r="P94" s="122" t="e">
        <f>Data_Analysis!T54</f>
        <v>#NUM!</v>
      </c>
      <c r="Q94" s="122"/>
      <c r="R94" s="122"/>
      <c r="S94" s="123" t="e">
        <f>Data_Analysis!U54</f>
        <v>#NUM!</v>
      </c>
      <c r="T94" s="125" t="e">
        <f>INDEX(Vehicle[REPAIR / MAINTENANCE LOCATION],MATCH(DashBoard!P94,Vehicle[VEHICLE REG NO.],0))</f>
        <v>#NUM!</v>
      </c>
    </row>
    <row r="95" spans="13:20">
      <c r="M95"/>
      <c r="N95"/>
      <c r="P95" s="122" t="e">
        <f>Data_Analysis!T55</f>
        <v>#NUM!</v>
      </c>
      <c r="Q95" s="122"/>
      <c r="R95" s="122"/>
      <c r="S95" s="123" t="e">
        <f>Data_Analysis!U55</f>
        <v>#NUM!</v>
      </c>
      <c r="T95" s="125" t="e">
        <f>INDEX(Vehicle[REPAIR / MAINTENANCE LOCATION],MATCH(DashBoard!P95,Vehicle[VEHICLE REG NO.],0))</f>
        <v>#NUM!</v>
      </c>
    </row>
    <row r="96" spans="13:20">
      <c r="M96"/>
      <c r="N96"/>
      <c r="P96" s="122" t="e">
        <f>Data_Analysis!T56</f>
        <v>#NUM!</v>
      </c>
      <c r="Q96" s="122"/>
      <c r="R96" s="122"/>
      <c r="S96" s="123" t="e">
        <f>Data_Analysis!U56</f>
        <v>#NUM!</v>
      </c>
      <c r="T96" s="125" t="e">
        <f>INDEX(Vehicle[REPAIR / MAINTENANCE LOCATION],MATCH(DashBoard!P96,Vehicle[VEHICLE REG NO.],0))</f>
        <v>#NUM!</v>
      </c>
    </row>
    <row r="97" spans="13:21">
      <c r="M97"/>
      <c r="N97"/>
    </row>
    <row r="98" spans="13:21">
      <c r="M98"/>
      <c r="N98"/>
    </row>
    <row r="99" spans="13:21">
      <c r="M99"/>
      <c r="N99"/>
    </row>
    <row r="100" spans="13:21">
      <c r="M100"/>
      <c r="N100"/>
      <c r="S100" s="312"/>
      <c r="T100" s="312"/>
      <c r="U100" s="312"/>
    </row>
    <row r="101" spans="13:21">
      <c r="M101"/>
      <c r="N101"/>
      <c r="S101" s="312"/>
      <c r="T101" s="312"/>
      <c r="U101" s="312"/>
    </row>
    <row r="102" spans="13:21">
      <c r="M102"/>
      <c r="N102"/>
      <c r="S102" s="92"/>
      <c r="T102" s="92"/>
      <c r="U102" s="92"/>
    </row>
    <row r="103" spans="13:21">
      <c r="M103"/>
      <c r="N103"/>
      <c r="S103" s="92"/>
      <c r="T103" s="92"/>
      <c r="U103" s="92"/>
    </row>
    <row r="104" spans="13:21">
      <c r="M104"/>
      <c r="N104"/>
      <c r="S104" s="92"/>
      <c r="T104" s="92"/>
      <c r="U104" s="92"/>
    </row>
    <row r="105" spans="13:21">
      <c r="S105" s="92"/>
      <c r="T105" s="92"/>
      <c r="U105" s="92"/>
    </row>
    <row r="106" spans="13:21">
      <c r="S106" s="92"/>
      <c r="T106" s="92"/>
      <c r="U106" s="92"/>
    </row>
    <row r="107" spans="13:21">
      <c r="S107" s="92"/>
      <c r="T107" s="92"/>
      <c r="U107" s="92"/>
    </row>
    <row r="108" spans="13:21">
      <c r="S108" s="92"/>
      <c r="T108" s="92"/>
      <c r="U108" s="92"/>
    </row>
    <row r="109" spans="13:21">
      <c r="S109" s="92"/>
      <c r="T109" s="92"/>
      <c r="U109" s="92"/>
    </row>
    <row r="110" spans="13:21">
      <c r="S110" s="92"/>
      <c r="T110" s="92"/>
      <c r="U110" s="92"/>
    </row>
    <row r="111" spans="13:21">
      <c r="S111" s="92"/>
      <c r="T111" s="92"/>
      <c r="U111" s="92"/>
    </row>
    <row r="112" spans="13:21">
      <c r="S112" s="92"/>
      <c r="T112" s="92"/>
      <c r="U112" s="92"/>
    </row>
    <row r="113" spans="1:21">
      <c r="S113" s="92"/>
      <c r="T113" s="92"/>
      <c r="U113" s="92"/>
    </row>
    <row r="114" spans="1:21">
      <c r="S114" s="92"/>
      <c r="T114" s="92"/>
      <c r="U114" s="92"/>
    </row>
    <row r="115" spans="1:21">
      <c r="S115" s="92"/>
      <c r="T115" s="92"/>
      <c r="U115" s="92"/>
    </row>
    <row r="116" spans="1:21">
      <c r="S116" s="92"/>
      <c r="T116" s="92"/>
      <c r="U116" s="92"/>
    </row>
    <row r="117" spans="1:21">
      <c r="A117" s="75"/>
      <c r="B117" s="75"/>
      <c r="C117" s="75"/>
      <c r="D117" s="75"/>
      <c r="E117" s="75"/>
      <c r="F117" s="75"/>
      <c r="G117" s="75"/>
      <c r="H117" s="75"/>
      <c r="I117" s="75"/>
      <c r="J117" s="75"/>
      <c r="K117" s="75"/>
      <c r="L117" s="75"/>
      <c r="M117" s="75"/>
      <c r="N117" s="75"/>
      <c r="O117" s="75"/>
      <c r="P117" s="75"/>
      <c r="Q117" s="75"/>
      <c r="R117" s="75"/>
      <c r="S117" s="75"/>
      <c r="T117" s="75"/>
    </row>
    <row r="129" spans="18:18">
      <c r="R129" s="37"/>
    </row>
    <row r="131" spans="18:18" ht="15.75" customHeight="1"/>
    <row r="145" spans="13:20">
      <c r="P145" s="69"/>
      <c r="Q145" s="69"/>
      <c r="R145" s="69"/>
    </row>
    <row r="146" spans="13:20">
      <c r="P146" s="69"/>
      <c r="Q146" s="69"/>
      <c r="R146" s="69"/>
    </row>
    <row r="147" spans="13:20">
      <c r="P147" s="69"/>
      <c r="Q147" s="69"/>
      <c r="R147" s="69"/>
    </row>
    <row r="148" spans="13:20">
      <c r="M148" s="291" t="s">
        <v>4</v>
      </c>
      <c r="N148" s="294" t="s">
        <v>871</v>
      </c>
      <c r="P148" s="124" t="str">
        <f>Data_Analysis!G69</f>
        <v>Grand Total</v>
      </c>
      <c r="Q148" s="69"/>
      <c r="R148" s="69"/>
      <c r="S148" s="123">
        <f>Data_Analysis!H69</f>
        <v>1686262.9</v>
      </c>
      <c r="T148" s="125" t="e">
        <f>INDEX(Equipment[END USER],MATCH(DashBoard!P148,Equipment[ASSET DESCRIPTION],0))</f>
        <v>#N/A</v>
      </c>
    </row>
    <row r="149" spans="13:20">
      <c r="M149" s="292" t="s">
        <v>24</v>
      </c>
      <c r="N149" s="293">
        <v>1300707</v>
      </c>
      <c r="P149" s="122" t="str">
        <f>Data_Analysis!G70</f>
        <v>PHC OFFICE CAT 350KVA GENERATOR</v>
      </c>
      <c r="Q149" s="69"/>
      <c r="R149" s="69"/>
      <c r="S149" s="123">
        <f>Data_Analysis!H70</f>
        <v>782520</v>
      </c>
      <c r="T149" s="125" t="str">
        <f>INDEX(Equipment[END USER],MATCH(DashBoard!P149,Equipment[ASSET DESCRIPTION],0))</f>
        <v>OFFICE</v>
      </c>
    </row>
    <row r="150" spans="13:20">
      <c r="M150" s="292" t="s">
        <v>107</v>
      </c>
      <c r="N150" s="293">
        <v>206555.9</v>
      </c>
      <c r="P150" s="122" t="str">
        <f>Data_Analysis!G71</f>
        <v>AK UYO PERKINS 100KVA GENERATOR</v>
      </c>
      <c r="Q150" s="69"/>
      <c r="R150" s="69"/>
      <c r="S150" s="123">
        <f>Data_Analysis!H71</f>
        <v>302488</v>
      </c>
      <c r="T150" s="125" t="str">
        <f>INDEX(Equipment[END USER],MATCH(DashBoard!P150,Equipment[ASSET DESCRIPTION],0))</f>
        <v>MD</v>
      </c>
    </row>
    <row r="151" spans="13:20">
      <c r="M151" s="292" t="s">
        <v>164</v>
      </c>
      <c r="N151" s="293">
        <v>162000</v>
      </c>
      <c r="P151" s="122" t="str">
        <f>Data_Analysis!G72</f>
        <v>CHAIRMAN'S MIKANO 50KVA GENERATOR</v>
      </c>
      <c r="Q151" s="69"/>
      <c r="R151" s="69"/>
      <c r="S151" s="123">
        <f>Data_Analysis!H72</f>
        <v>174000</v>
      </c>
      <c r="T151" s="125" t="str">
        <f>INDEX(Equipment[END USER],MATCH(DashBoard!P151,Equipment[ASSET DESCRIPTION],0))</f>
        <v>Chairman</v>
      </c>
    </row>
    <row r="152" spans="13:20">
      <c r="M152" s="292" t="s">
        <v>182</v>
      </c>
      <c r="N152" s="293"/>
      <c r="P152" s="122" t="str">
        <f>Data_Analysis!G73</f>
        <v>DGS MIKANO 50KVA GENERATOR</v>
      </c>
      <c r="Q152" s="69"/>
      <c r="R152" s="69"/>
      <c r="S152" s="123">
        <f>Data_Analysis!H73</f>
        <v>157195.9</v>
      </c>
      <c r="T152" s="125" t="str">
        <f>INDEX(Equipment[END USER],MATCH(DashBoard!P152,Equipment[ASSET DESCRIPTION],0))</f>
        <v>DGS</v>
      </c>
    </row>
    <row r="153" spans="13:20">
      <c r="M153" s="292" t="s">
        <v>33</v>
      </c>
      <c r="N153" s="293">
        <v>17000</v>
      </c>
      <c r="P153" s="69"/>
      <c r="Q153" s="69"/>
      <c r="R153" s="69"/>
    </row>
    <row r="154" spans="13:20">
      <c r="M154" s="292" t="s">
        <v>873</v>
      </c>
      <c r="N154" s="293"/>
      <c r="P154" s="69"/>
      <c r="Q154" s="69"/>
      <c r="R154" s="69"/>
    </row>
    <row r="155" spans="13:20">
      <c r="M155" s="292" t="s">
        <v>872</v>
      </c>
      <c r="N155" s="293">
        <v>1686262.9</v>
      </c>
      <c r="P155" s="69"/>
      <c r="Q155" s="69"/>
      <c r="R155" s="69"/>
    </row>
    <row r="156" spans="13:20">
      <c r="M156"/>
      <c r="N156"/>
      <c r="P156" s="69"/>
      <c r="Q156" s="69"/>
      <c r="R156" s="69"/>
    </row>
    <row r="157" spans="13:20">
      <c r="M157"/>
      <c r="N157"/>
      <c r="P157" s="69"/>
      <c r="Q157" s="69"/>
      <c r="R157" s="69"/>
    </row>
    <row r="158" spans="13:20">
      <c r="M158"/>
      <c r="N158"/>
      <c r="P158" s="69"/>
      <c r="Q158" s="69"/>
      <c r="R158" s="69"/>
    </row>
    <row r="159" spans="13:20">
      <c r="M159"/>
      <c r="N159"/>
      <c r="P159" s="69"/>
      <c r="Q159" s="69"/>
      <c r="R159" s="69"/>
    </row>
    <row r="160" spans="13:20">
      <c r="M160"/>
      <c r="N160"/>
      <c r="P160" s="69"/>
      <c r="Q160" s="69"/>
      <c r="R160" s="69"/>
    </row>
    <row r="161" spans="1:22">
      <c r="P161" s="69"/>
      <c r="Q161" s="69"/>
      <c r="R161" s="69"/>
    </row>
    <row r="162" spans="1:22">
      <c r="P162" s="69"/>
      <c r="Q162" s="69"/>
      <c r="R162" s="69"/>
    </row>
    <row r="163" spans="1:22">
      <c r="P163" s="69"/>
      <c r="Q163" s="69"/>
      <c r="R163" s="69"/>
    </row>
    <row r="164" spans="1:22">
      <c r="P164" s="69"/>
      <c r="Q164" s="69"/>
      <c r="R164" s="69"/>
    </row>
    <row r="165" spans="1:22">
      <c r="P165" s="69"/>
      <c r="Q165" s="69"/>
      <c r="R165" s="69"/>
    </row>
    <row r="166" spans="1:22">
      <c r="P166" s="69"/>
      <c r="Q166" s="69"/>
      <c r="R166" s="69"/>
    </row>
    <row r="168" spans="1:22">
      <c r="A168" s="75"/>
      <c r="B168" s="75"/>
      <c r="C168" s="75"/>
      <c r="D168" s="75"/>
      <c r="E168" s="75"/>
      <c r="F168" s="75"/>
      <c r="G168" s="75"/>
      <c r="H168" s="75"/>
      <c r="I168" s="75"/>
      <c r="J168" s="75"/>
      <c r="K168" s="75"/>
      <c r="L168" s="75"/>
      <c r="M168" s="75"/>
      <c r="N168" s="75"/>
      <c r="O168" s="75"/>
      <c r="P168" s="75"/>
      <c r="Q168" s="75"/>
      <c r="R168" s="75"/>
      <c r="S168" s="75"/>
      <c r="T168" s="75"/>
      <c r="U168" s="75"/>
      <c r="V168" s="75"/>
    </row>
    <row r="169" spans="1:22">
      <c r="P169" s="37"/>
    </row>
    <row r="171" spans="1:22" ht="15" customHeight="1"/>
    <row r="197" spans="13:19">
      <c r="M197" t="s">
        <v>4</v>
      </c>
      <c r="N197" s="100" t="s">
        <v>871</v>
      </c>
      <c r="P197" s="122" t="e">
        <f>Data_Analysis!AC73</f>
        <v>#NUM!</v>
      </c>
      <c r="Q197" s="122"/>
      <c r="R197" s="123" t="e">
        <f>Data_Analysis!AD73</f>
        <v>#NUM!</v>
      </c>
      <c r="S197" s="125" t="e">
        <f>INDEX(Facility[END USER],MATCH(P197,Facility[LOCATION],0))</f>
        <v>#NUM!</v>
      </c>
    </row>
    <row r="198" spans="13:19">
      <c r="M198" s="93" t="s">
        <v>873</v>
      </c>
      <c r="N198" s="94"/>
      <c r="P198" s="122" t="e">
        <f>Data_Analysis!AC74</f>
        <v>#NUM!</v>
      </c>
      <c r="Q198" s="122"/>
      <c r="R198" s="123" t="e">
        <f>Data_Analysis!AD74</f>
        <v>#NUM!</v>
      </c>
      <c r="S198" s="125" t="e">
        <f>INDEX(Facility[END USER],MATCH(P198,Facility[LOCATION],0))</f>
        <v>#NUM!</v>
      </c>
    </row>
    <row r="199" spans="13:19">
      <c r="M199" s="93" t="s">
        <v>872</v>
      </c>
      <c r="N199" s="94"/>
      <c r="P199" s="122" t="e">
        <f>Data_Analysis!AC75</f>
        <v>#NUM!</v>
      </c>
      <c r="Q199" s="122"/>
      <c r="R199" s="123" t="e">
        <f>Data_Analysis!AD75</f>
        <v>#NUM!</v>
      </c>
      <c r="S199" s="125" t="e">
        <f>INDEX(Facility[END USER],MATCH(P199,Facility[LOCATION],0))</f>
        <v>#NUM!</v>
      </c>
    </row>
    <row r="200" spans="13:19">
      <c r="M200"/>
      <c r="N200"/>
      <c r="P200" s="122" t="e">
        <f>Data_Analysis!AC76</f>
        <v>#NUM!</v>
      </c>
      <c r="Q200" s="122"/>
      <c r="R200" s="123" t="e">
        <f>Data_Analysis!AD76</f>
        <v>#NUM!</v>
      </c>
      <c r="S200" s="125" t="e">
        <f>INDEX(Facility[END USER],MATCH(P200,Facility[LOCATION],0))</f>
        <v>#NUM!</v>
      </c>
    </row>
    <row r="201" spans="13:19">
      <c r="M201"/>
      <c r="N201"/>
      <c r="P201" s="122" t="e">
        <f>Data_Analysis!AC77</f>
        <v>#NUM!</v>
      </c>
      <c r="Q201" s="122"/>
      <c r="R201" s="123" t="e">
        <f>Data_Analysis!AD77</f>
        <v>#NUM!</v>
      </c>
      <c r="S201" s="125" t="e">
        <f>INDEX(Facility[END USER],MATCH(P201,Facility[LOCATION],0))</f>
        <v>#NUM!</v>
      </c>
    </row>
    <row r="202" spans="13:19">
      <c r="M202"/>
      <c r="N202"/>
    </row>
    <row r="203" spans="13:19">
      <c r="M203"/>
      <c r="N203"/>
    </row>
    <row r="204" spans="13:19">
      <c r="M204"/>
      <c r="N204"/>
    </row>
    <row r="205" spans="13:19">
      <c r="M205"/>
      <c r="N205"/>
    </row>
    <row r="206" spans="13:19">
      <c r="M206"/>
      <c r="N206"/>
    </row>
    <row r="207" spans="13:19">
      <c r="M207"/>
      <c r="N207"/>
    </row>
    <row r="208" spans="13:19">
      <c r="M208"/>
      <c r="N208"/>
    </row>
    <row r="209" spans="13:14">
      <c r="M209"/>
      <c r="N209"/>
    </row>
  </sheetData>
  <mergeCells count="6">
    <mergeCell ref="S100:U101"/>
    <mergeCell ref="N62:P63"/>
    <mergeCell ref="C10:F10"/>
    <mergeCell ref="Q10:S10"/>
    <mergeCell ref="H10:K10"/>
    <mergeCell ref="L10:O10"/>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8c6ef6-b243-4a9e-b941-e852d32759c2" xsi:nil="true"/>
    <lcf76f155ced4ddcb4097134ff3c332f xmlns="c57e52c3-75e5-45d0-92b3-bd5e15be20bf">
      <Terms xmlns="http://schemas.microsoft.com/office/infopath/2007/PartnerControls"/>
    </lcf76f155ced4ddcb4097134ff3c332f>
    <MediaLengthInSeconds xmlns="c57e52c3-75e5-45d0-92b3-bd5e15be20b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289F8DAE3E3743AAE29C971254BFEA" ma:contentTypeVersion="12" ma:contentTypeDescription="Create a new document." ma:contentTypeScope="" ma:versionID="29fd6472936a747f9f1a5ba3b1052972">
  <xsd:schema xmlns:xsd="http://www.w3.org/2001/XMLSchema" xmlns:xs="http://www.w3.org/2001/XMLSchema" xmlns:p="http://schemas.microsoft.com/office/2006/metadata/properties" xmlns:ns2="c57e52c3-75e5-45d0-92b3-bd5e15be20bf" xmlns:ns3="6c8c6ef6-b243-4a9e-b941-e852d32759c2" targetNamespace="http://schemas.microsoft.com/office/2006/metadata/properties" ma:root="true" ma:fieldsID="009f7d0f9e12e81687de4688232e2da1" ns2:_="" ns3:_="">
    <xsd:import namespace="c57e52c3-75e5-45d0-92b3-bd5e15be20bf"/>
    <xsd:import namespace="6c8c6ef6-b243-4a9e-b941-e852d32759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7e52c3-75e5-45d0-92b3-bd5e15be20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9d74e4-cf82-4519-8d49-c82aec2a380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8c6ef6-b243-4a9e-b941-e852d32759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cbc35af-eff3-4ee4-bc57-05ebcfc5cad1}" ma:internalName="TaxCatchAll" ma:showField="CatchAllData" ma:web="6c8c6ef6-b243-4a9e-b941-e852d32759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49A3F8-51B5-448D-91A9-F58100005788}">
  <ds:schemaRefs>
    <ds:schemaRef ds:uri="http://schemas.microsoft.com/office/2006/metadata/properties"/>
    <ds:schemaRef ds:uri="http://schemas.microsoft.com/office/infopath/2007/PartnerControls"/>
    <ds:schemaRef ds:uri="6c8c6ef6-b243-4a9e-b941-e852d32759c2"/>
    <ds:schemaRef ds:uri="c57e52c3-75e5-45d0-92b3-bd5e15be20bf"/>
  </ds:schemaRefs>
</ds:datastoreItem>
</file>

<file path=customXml/itemProps2.xml><?xml version="1.0" encoding="utf-8"?>
<ds:datastoreItem xmlns:ds="http://schemas.openxmlformats.org/officeDocument/2006/customXml" ds:itemID="{F94DB34F-C2B0-4E59-B9E3-140F708F2A7B}">
  <ds:schemaRefs>
    <ds:schemaRef ds:uri="http://schemas.microsoft.com/sharepoint/v3/contenttype/forms"/>
  </ds:schemaRefs>
</ds:datastoreItem>
</file>

<file path=customXml/itemProps3.xml><?xml version="1.0" encoding="utf-8"?>
<ds:datastoreItem xmlns:ds="http://schemas.openxmlformats.org/officeDocument/2006/customXml" ds:itemID="{AA9ED5E9-81A2-4C1F-8FC1-111FCDED05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7e52c3-75e5-45d0-92b3-bd5e15be20bf"/>
    <ds:schemaRef ds:uri="6c8c6ef6-b243-4a9e-b941-e852d32759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Vehicle</vt:lpstr>
      <vt:lpstr>Equipment</vt:lpstr>
      <vt:lpstr>Facility</vt:lpstr>
      <vt:lpstr>Additions</vt:lpstr>
      <vt:lpstr>List of Vehicles</vt:lpstr>
      <vt:lpstr>List of Generators</vt:lpstr>
      <vt:lpstr>Data_Analysis</vt:lpstr>
      <vt:lpstr>DashBoard</vt:lpstr>
      <vt:lpstr>FAC_COST</vt:lpstr>
      <vt:lpstr>FAC_DES</vt:lpstr>
      <vt:lpstr>GEN_COST</vt:lpstr>
      <vt:lpstr>GEN_DES</vt:lpstr>
      <vt:lpstr>VEH_COST</vt:lpstr>
      <vt:lpstr>VEH_DES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BASSEY</dc:creator>
  <cp:keywords/>
  <dc:description/>
  <cp:lastModifiedBy>Christian Bassey</cp:lastModifiedBy>
  <cp:revision/>
  <dcterms:created xsi:type="dcterms:W3CDTF">2020-06-25T19:11:57Z</dcterms:created>
  <dcterms:modified xsi:type="dcterms:W3CDTF">2026-09-28T10:09:07Z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0x010100C8289F8DAE3E3743AAE29C971254BFEA</vt:lpwstr>
  </property>
  <property fmtid="{D5CDD505-2E9C-101B-9397-08002B2CF9AE}" pid="3" name="MediaServiceImageTags">
    <vt:lpwstr/>
  </property>
  <property fmtid="{D5CDD505-2E9C-101B-9397-08002B2CF9AE}" pid="4" name="Order">
    <vt:r8>2619200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